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4"/>
  <workbookPr/>
  <mc:AlternateContent xmlns:mc="http://schemas.openxmlformats.org/markup-compatibility/2006">
    <mc:Choice Requires="x15">
      <x15ac:absPath xmlns:x15ac="http://schemas.microsoft.com/office/spreadsheetml/2010/11/ac" url="https://lcuedu-my.sharepoint.com/personal/pseguraandrade6747_lcu_edu/Documents/"/>
    </mc:Choice>
  </mc:AlternateContent>
  <xr:revisionPtr revIDLastSave="0" documentId="8_{80D32802-90C8-43CE-800F-4581DCC43FD9}" xr6:coauthVersionLast="47" xr6:coauthVersionMax="47" xr10:uidLastSave="{00000000-0000-0000-0000-000000000000}"/>
  <bookViews>
    <workbookView xWindow="220" yWindow="720" windowWidth="22820" windowHeight="12240" firstSheet="2" xr2:uid="{00000000-000D-0000-FFFF-FFFF00000000}"/>
  </bookViews>
  <sheets>
    <sheet name="DCF Model with Valuation" sheetId="1" r:id="rId1"/>
    <sheet name="WACC" sheetId="5" r:id="rId2"/>
    <sheet name="Sensitivity Analysis(Bull)" sheetId="6" r:id="rId3"/>
    <sheet name="Sensitivity Analysis(Bear)" sheetId="7" r:id="rId4"/>
  </sheets>
  <externalReferences>
    <externalReference r:id="rId5"/>
  </externalReferences>
  <definedNames>
    <definedName name="_xlnm.Print_Area" localSheetId="0">'DCF Model with Valuation'!$B$1:$M$63</definedName>
    <definedName name="_xlnm.Print_Area" localSheetId="3">'Sensitivity Analysis(Bear)'!$B$1:$M$63</definedName>
    <definedName name="_xlnm.Print_Area" localSheetId="2">'Sensitivity Analysis(Bull)'!$B$1:$M$63</definedName>
    <definedName name="Type">'[1]Risk Assessment &amp; Control'!#REF!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49" i="7" l="1"/>
  <c r="E49" i="7" s="1"/>
  <c r="F49" i="7" s="1"/>
  <c r="G49" i="7" s="1"/>
  <c r="H49" i="7" s="1"/>
  <c r="I49" i="7" s="1"/>
  <c r="J49" i="7" s="1"/>
  <c r="K49" i="7" s="1"/>
  <c r="L49" i="7" s="1"/>
  <c r="M49" i="7" s="1"/>
  <c r="C48" i="7"/>
  <c r="C37" i="7"/>
  <c r="C38" i="7" s="1"/>
  <c r="C41" i="7" s="1"/>
  <c r="D32" i="7"/>
  <c r="D40" i="7" s="1"/>
  <c r="D48" i="7" s="1"/>
  <c r="C30" i="7"/>
  <c r="D30" i="7" s="1"/>
  <c r="E30" i="7" s="1"/>
  <c r="F30" i="7" s="1"/>
  <c r="G30" i="7" s="1"/>
  <c r="H30" i="7" s="1"/>
  <c r="I30" i="7" s="1"/>
  <c r="J30" i="7" s="1"/>
  <c r="K30" i="7" s="1"/>
  <c r="L30" i="7" s="1"/>
  <c r="M30" i="7" s="1"/>
  <c r="D19" i="7"/>
  <c r="C16" i="7"/>
  <c r="C55" i="7" s="1"/>
  <c r="D6" i="7"/>
  <c r="E6" i="7" s="1"/>
  <c r="F3" i="7" a="1"/>
  <c r="F3" i="7" s="1"/>
  <c r="C67" i="7" s="1"/>
  <c r="B3" i="7" a="1"/>
  <c r="B3" i="7" s="1"/>
  <c r="D49" i="6"/>
  <c r="E49" i="6" s="1"/>
  <c r="F49" i="6" s="1"/>
  <c r="G49" i="6" s="1"/>
  <c r="H49" i="6" s="1"/>
  <c r="I49" i="6" s="1"/>
  <c r="J49" i="6" s="1"/>
  <c r="K49" i="6" s="1"/>
  <c r="L49" i="6" s="1"/>
  <c r="M49" i="6" s="1"/>
  <c r="C48" i="6"/>
  <c r="C37" i="6"/>
  <c r="C38" i="6" s="1"/>
  <c r="C41" i="6" s="1"/>
  <c r="D32" i="6"/>
  <c r="D40" i="6" s="1"/>
  <c r="D48" i="6" s="1"/>
  <c r="D6" i="6"/>
  <c r="C30" i="6" s="1"/>
  <c r="D30" i="6" s="1"/>
  <c r="E30" i="6" s="1"/>
  <c r="F30" i="6" s="1"/>
  <c r="G30" i="6" s="1"/>
  <c r="H30" i="6" s="1"/>
  <c r="I30" i="6" s="1"/>
  <c r="J30" i="6" s="1"/>
  <c r="K30" i="6" s="1"/>
  <c r="L30" i="6" s="1"/>
  <c r="M30" i="6" s="1"/>
  <c r="F3" i="6" a="1"/>
  <c r="F3" i="6" s="1"/>
  <c r="C67" i="6" s="1"/>
  <c r="B3" i="6" a="1"/>
  <c r="B3" i="6" s="1"/>
  <c r="F3" i="1" a="1"/>
  <c r="F3" i="1" s="1"/>
  <c r="B3" i="1" a="1"/>
  <c r="B3" i="1" s="1"/>
  <c r="C21" i="5"/>
  <c r="C4" i="5"/>
  <c r="C7" i="5" s="1"/>
  <c r="C15" i="5" s="1"/>
  <c r="C37" i="1"/>
  <c r="D34" i="7" l="1"/>
  <c r="C43" i="7"/>
  <c r="D42" i="7"/>
  <c r="C46" i="7"/>
  <c r="C51" i="7" s="1"/>
  <c r="E19" i="7"/>
  <c r="F6" i="7"/>
  <c r="D37" i="7"/>
  <c r="D50" i="7"/>
  <c r="E32" i="7"/>
  <c r="D35" i="7"/>
  <c r="C43" i="6"/>
  <c r="D42" i="6"/>
  <c r="C46" i="6"/>
  <c r="C51" i="6" s="1"/>
  <c r="E6" i="6"/>
  <c r="D37" i="6"/>
  <c r="D50" i="6"/>
  <c r="E32" i="6"/>
  <c r="D19" i="6"/>
  <c r="D34" i="6"/>
  <c r="D35" i="6" s="1"/>
  <c r="C67" i="1"/>
  <c r="F19" i="7" l="1"/>
  <c r="G6" i="7"/>
  <c r="D38" i="7"/>
  <c r="D41" i="7" s="1"/>
  <c r="D20" i="7"/>
  <c r="E34" i="7"/>
  <c r="E35" i="7" s="1"/>
  <c r="F32" i="7"/>
  <c r="E50" i="7"/>
  <c r="E40" i="7"/>
  <c r="E48" i="7" s="1"/>
  <c r="E37" i="7"/>
  <c r="F6" i="5"/>
  <c r="F8" i="5" s="1"/>
  <c r="H4" i="5"/>
  <c r="F7" i="5"/>
  <c r="F9" i="5" s="1"/>
  <c r="E40" i="6"/>
  <c r="E48" i="6" s="1"/>
  <c r="E34" i="6"/>
  <c r="E35" i="6" s="1"/>
  <c r="F32" i="6"/>
  <c r="E50" i="6"/>
  <c r="E37" i="6"/>
  <c r="E19" i="6"/>
  <c r="F6" i="6"/>
  <c r="D20" i="6"/>
  <c r="D38" i="6"/>
  <c r="D41" i="6" s="1"/>
  <c r="E42" i="6" s="1"/>
  <c r="D6" i="1"/>
  <c r="E38" i="7" l="1"/>
  <c r="E41" i="7" s="1"/>
  <c r="E20" i="7"/>
  <c r="F40" i="7"/>
  <c r="F48" i="7" s="1"/>
  <c r="F34" i="7"/>
  <c r="F35" i="7" s="1"/>
  <c r="F37" i="7"/>
  <c r="G32" i="7"/>
  <c r="F50" i="7"/>
  <c r="D43" i="7"/>
  <c r="D45" i="7" s="1"/>
  <c r="D46" i="7" s="1"/>
  <c r="E42" i="7"/>
  <c r="F42" i="7" s="1"/>
  <c r="G19" i="7"/>
  <c r="H6" i="7"/>
  <c r="C16" i="6"/>
  <c r="C55" i="6" s="1"/>
  <c r="C16" i="1"/>
  <c r="C55" i="1" s="1"/>
  <c r="E20" i="6"/>
  <c r="E38" i="6"/>
  <c r="E41" i="6" s="1"/>
  <c r="F42" i="6" s="1"/>
  <c r="F19" i="6"/>
  <c r="G6" i="6"/>
  <c r="F40" i="6"/>
  <c r="F48" i="6" s="1"/>
  <c r="G32" i="6"/>
  <c r="F34" i="6"/>
  <c r="F35" i="6" s="1"/>
  <c r="F50" i="6"/>
  <c r="F37" i="6"/>
  <c r="D43" i="6"/>
  <c r="D45" i="6" s="1"/>
  <c r="D46" i="6" s="1"/>
  <c r="E6" i="1"/>
  <c r="F6" i="1" s="1"/>
  <c r="G6" i="1" s="1"/>
  <c r="G19" i="1" s="1"/>
  <c r="D49" i="1"/>
  <c r="E49" i="1" s="1"/>
  <c r="F49" i="1" s="1"/>
  <c r="G49" i="1" s="1"/>
  <c r="H49" i="1" s="1"/>
  <c r="I49" i="1" s="1"/>
  <c r="J49" i="1" s="1"/>
  <c r="K49" i="1" s="1"/>
  <c r="L49" i="1" s="1"/>
  <c r="M49" i="1" s="1"/>
  <c r="C48" i="1"/>
  <c r="C38" i="1"/>
  <c r="C41" i="1" s="1"/>
  <c r="D32" i="1"/>
  <c r="D50" i="1" s="1"/>
  <c r="D21" i="7" l="1"/>
  <c r="D51" i="7"/>
  <c r="F20" i="7"/>
  <c r="F38" i="7"/>
  <c r="F41" i="7" s="1"/>
  <c r="H32" i="7"/>
  <c r="G50" i="7"/>
  <c r="G37" i="7"/>
  <c r="G34" i="7"/>
  <c r="G35" i="7" s="1"/>
  <c r="G40" i="7"/>
  <c r="G48" i="7" s="1"/>
  <c r="H19" i="7"/>
  <c r="I6" i="7"/>
  <c r="E43" i="7"/>
  <c r="E45" i="7" s="1"/>
  <c r="E46" i="7" s="1"/>
  <c r="F38" i="6"/>
  <c r="F41" i="6" s="1"/>
  <c r="G42" i="6" s="1"/>
  <c r="F20" i="6"/>
  <c r="G19" i="6"/>
  <c r="H6" i="6"/>
  <c r="E43" i="6"/>
  <c r="E45" i="6" s="1"/>
  <c r="E46" i="6" s="1"/>
  <c r="G34" i="6"/>
  <c r="G35" i="6" s="1"/>
  <c r="H32" i="6"/>
  <c r="G50" i="6"/>
  <c r="G37" i="6"/>
  <c r="G40" i="6"/>
  <c r="G48" i="6" s="1"/>
  <c r="D21" i="6"/>
  <c r="D51" i="6"/>
  <c r="C43" i="1"/>
  <c r="C46" i="1" s="1"/>
  <c r="C51" i="1" s="1"/>
  <c r="D42" i="1"/>
  <c r="C30" i="1"/>
  <c r="D30" i="1" s="1"/>
  <c r="D19" i="1"/>
  <c r="F19" i="1"/>
  <c r="E19" i="1"/>
  <c r="H6" i="1"/>
  <c r="H19" i="1" s="1"/>
  <c r="D37" i="1"/>
  <c r="D40" i="1"/>
  <c r="D48" i="1" s="1"/>
  <c r="E32" i="1"/>
  <c r="D34" i="1"/>
  <c r="D35" i="1" s="1"/>
  <c r="D20" i="1" s="1"/>
  <c r="G38" i="7" l="1"/>
  <c r="G41" i="7" s="1"/>
  <c r="G20" i="7"/>
  <c r="E51" i="7"/>
  <c r="E21" i="7"/>
  <c r="J6" i="7"/>
  <c r="I19" i="7"/>
  <c r="F43" i="7"/>
  <c r="F45" i="7" s="1"/>
  <c r="F46" i="7" s="1"/>
  <c r="G42" i="7"/>
  <c r="H34" i="7"/>
  <c r="H50" i="7"/>
  <c r="H37" i="7"/>
  <c r="H40" i="7"/>
  <c r="H48" i="7" s="1"/>
  <c r="H35" i="7"/>
  <c r="I32" i="7"/>
  <c r="D55" i="7"/>
  <c r="D22" i="7"/>
  <c r="G38" i="6"/>
  <c r="G41" i="6" s="1"/>
  <c r="H42" i="6" s="1"/>
  <c r="G20" i="6"/>
  <c r="E51" i="6"/>
  <c r="E21" i="6"/>
  <c r="H19" i="6"/>
  <c r="I6" i="6"/>
  <c r="D55" i="6"/>
  <c r="D22" i="6"/>
  <c r="H34" i="6"/>
  <c r="H35" i="6" s="1"/>
  <c r="I32" i="6"/>
  <c r="H50" i="6"/>
  <c r="H37" i="6"/>
  <c r="H40" i="6"/>
  <c r="H48" i="6" s="1"/>
  <c r="F43" i="6"/>
  <c r="F45" i="6" s="1"/>
  <c r="F46" i="6" s="1"/>
  <c r="E30" i="1"/>
  <c r="D38" i="1"/>
  <c r="D41" i="1" s="1"/>
  <c r="E42" i="1" s="1"/>
  <c r="I6" i="1"/>
  <c r="I19" i="1" s="1"/>
  <c r="E50" i="1"/>
  <c r="F32" i="1"/>
  <c r="F50" i="1" s="1"/>
  <c r="E34" i="1"/>
  <c r="E35" i="1" s="1"/>
  <c r="E20" i="1" s="1"/>
  <c r="E40" i="1"/>
  <c r="E48" i="1" s="1"/>
  <c r="E37" i="1"/>
  <c r="H42" i="7" l="1"/>
  <c r="F51" i="7"/>
  <c r="F21" i="7"/>
  <c r="H38" i="7"/>
  <c r="H41" i="7" s="1"/>
  <c r="H20" i="7"/>
  <c r="K6" i="7"/>
  <c r="J19" i="7"/>
  <c r="E55" i="7"/>
  <c r="E22" i="7"/>
  <c r="J32" i="7"/>
  <c r="I50" i="7"/>
  <c r="I37" i="7"/>
  <c r="I40" i="7"/>
  <c r="I48" i="7" s="1"/>
  <c r="I34" i="7"/>
  <c r="I35" i="7" s="1"/>
  <c r="I42" i="7"/>
  <c r="G43" i="7"/>
  <c r="G45" i="7" s="1"/>
  <c r="G46" i="7" s="1"/>
  <c r="F51" i="6"/>
  <c r="F21" i="6"/>
  <c r="J6" i="6"/>
  <c r="I19" i="6"/>
  <c r="E55" i="6"/>
  <c r="E22" i="6"/>
  <c r="H38" i="6"/>
  <c r="H41" i="6" s="1"/>
  <c r="I42" i="6" s="1"/>
  <c r="H20" i="6"/>
  <c r="J32" i="6"/>
  <c r="I50" i="6"/>
  <c r="I37" i="6"/>
  <c r="I40" i="6"/>
  <c r="I48" i="6" s="1"/>
  <c r="I34" i="6"/>
  <c r="I35" i="6" s="1"/>
  <c r="G43" i="6"/>
  <c r="G45" i="6" s="1"/>
  <c r="G46" i="6" s="1"/>
  <c r="F30" i="1"/>
  <c r="F40" i="1"/>
  <c r="F48" i="1" s="1"/>
  <c r="F34" i="1"/>
  <c r="F35" i="1" s="1"/>
  <c r="F20" i="1" s="1"/>
  <c r="F37" i="1"/>
  <c r="G32" i="1"/>
  <c r="J6" i="1"/>
  <c r="J19" i="1" s="1"/>
  <c r="E38" i="1"/>
  <c r="E41" i="1" s="1"/>
  <c r="F42" i="1" s="1"/>
  <c r="D43" i="1"/>
  <c r="D45" i="1" s="1"/>
  <c r="D46" i="1" s="1"/>
  <c r="D21" i="1" s="1"/>
  <c r="G51" i="7" l="1"/>
  <c r="G21" i="7"/>
  <c r="I20" i="7"/>
  <c r="I38" i="7"/>
  <c r="I41" i="7" s="1"/>
  <c r="J42" i="7" s="1"/>
  <c r="L6" i="7"/>
  <c r="K19" i="7"/>
  <c r="H43" i="7"/>
  <c r="H45" i="7" s="1"/>
  <c r="H46" i="7" s="1"/>
  <c r="J50" i="7"/>
  <c r="J37" i="7"/>
  <c r="J40" i="7"/>
  <c r="J48" i="7" s="1"/>
  <c r="J34" i="7"/>
  <c r="J35" i="7" s="1"/>
  <c r="K32" i="7"/>
  <c r="F55" i="7"/>
  <c r="F22" i="7"/>
  <c r="G51" i="6"/>
  <c r="G21" i="6"/>
  <c r="I20" i="6"/>
  <c r="I38" i="6"/>
  <c r="I41" i="6" s="1"/>
  <c r="K6" i="6"/>
  <c r="J19" i="6"/>
  <c r="J50" i="6"/>
  <c r="J37" i="6"/>
  <c r="J40" i="6"/>
  <c r="J48" i="6" s="1"/>
  <c r="J34" i="6"/>
  <c r="J35" i="6" s="1"/>
  <c r="K32" i="6"/>
  <c r="H43" i="6"/>
  <c r="H45" i="6" s="1"/>
  <c r="H46" i="6" s="1"/>
  <c r="F55" i="6"/>
  <c r="F22" i="6"/>
  <c r="G30" i="1"/>
  <c r="F38" i="1"/>
  <c r="F41" i="1" s="1"/>
  <c r="G42" i="1" s="1"/>
  <c r="D51" i="1"/>
  <c r="D55" i="1" s="1"/>
  <c r="K6" i="1"/>
  <c r="K19" i="1" s="1"/>
  <c r="E43" i="1"/>
  <c r="E45" i="1" s="1"/>
  <c r="E46" i="1" s="1"/>
  <c r="E21" i="1" s="1"/>
  <c r="G37" i="1"/>
  <c r="G34" i="1"/>
  <c r="G35" i="1" s="1"/>
  <c r="G20" i="1" s="1"/>
  <c r="H32" i="1"/>
  <c r="G40" i="1"/>
  <c r="G48" i="1" s="1"/>
  <c r="G50" i="1"/>
  <c r="H51" i="7" l="1"/>
  <c r="H21" i="7"/>
  <c r="J38" i="7"/>
  <c r="J41" i="7" s="1"/>
  <c r="J20" i="7"/>
  <c r="I43" i="7"/>
  <c r="I45" i="7" s="1"/>
  <c r="I46" i="7" s="1"/>
  <c r="K37" i="7"/>
  <c r="K40" i="7"/>
  <c r="K48" i="7" s="1"/>
  <c r="K34" i="7"/>
  <c r="K35" i="7" s="1"/>
  <c r="L32" i="7"/>
  <c r="K50" i="7"/>
  <c r="L19" i="7"/>
  <c r="M6" i="7"/>
  <c r="G22" i="7"/>
  <c r="G55" i="7"/>
  <c r="H21" i="6"/>
  <c r="H51" i="6"/>
  <c r="J20" i="6"/>
  <c r="J38" i="6"/>
  <c r="J41" i="6" s="1"/>
  <c r="I43" i="6"/>
  <c r="I45" i="6" s="1"/>
  <c r="I46" i="6" s="1"/>
  <c r="J42" i="6"/>
  <c r="K37" i="6"/>
  <c r="K40" i="6"/>
  <c r="K48" i="6" s="1"/>
  <c r="K34" i="6"/>
  <c r="K35" i="6" s="1"/>
  <c r="L32" i="6"/>
  <c r="K50" i="6"/>
  <c r="K19" i="6"/>
  <c r="L6" i="6"/>
  <c r="G55" i="6"/>
  <c r="G22" i="6"/>
  <c r="H30" i="1"/>
  <c r="E51" i="1"/>
  <c r="E55" i="1" s="1"/>
  <c r="G38" i="1"/>
  <c r="G41" i="1" s="1"/>
  <c r="H42" i="1" s="1"/>
  <c r="D22" i="1"/>
  <c r="H50" i="1"/>
  <c r="H40" i="1"/>
  <c r="H48" i="1" s="1"/>
  <c r="H37" i="1"/>
  <c r="H34" i="1"/>
  <c r="H35" i="1" s="1"/>
  <c r="H20" i="1" s="1"/>
  <c r="I32" i="1"/>
  <c r="L6" i="1"/>
  <c r="L19" i="1" s="1"/>
  <c r="F43" i="1"/>
  <c r="F45" i="1" s="1"/>
  <c r="F46" i="1" s="1"/>
  <c r="F21" i="1" s="1"/>
  <c r="K20" i="7" l="1"/>
  <c r="K38" i="7"/>
  <c r="K41" i="7" s="1"/>
  <c r="I21" i="7"/>
  <c r="I51" i="7"/>
  <c r="L53" i="7"/>
  <c r="M19" i="7"/>
  <c r="E15" i="7"/>
  <c r="L40" i="7"/>
  <c r="L48" i="7" s="1"/>
  <c r="M32" i="7"/>
  <c r="L50" i="7"/>
  <c r="L37" i="7"/>
  <c r="L34" i="7"/>
  <c r="L35" i="7" s="1"/>
  <c r="J43" i="7"/>
  <c r="J45" i="7" s="1"/>
  <c r="J46" i="7" s="1"/>
  <c r="K42" i="7"/>
  <c r="H55" i="7"/>
  <c r="H22" i="7"/>
  <c r="K42" i="6"/>
  <c r="I21" i="6"/>
  <c r="I51" i="6"/>
  <c r="K20" i="6"/>
  <c r="K38" i="6"/>
  <c r="K41" i="6" s="1"/>
  <c r="L19" i="6"/>
  <c r="M6" i="6"/>
  <c r="J43" i="6"/>
  <c r="J45" i="6" s="1"/>
  <c r="J46" i="6" s="1"/>
  <c r="L40" i="6"/>
  <c r="L48" i="6" s="1"/>
  <c r="L34" i="6"/>
  <c r="L35" i="6" s="1"/>
  <c r="M32" i="6"/>
  <c r="L50" i="6"/>
  <c r="L37" i="6"/>
  <c r="H55" i="6"/>
  <c r="H22" i="6"/>
  <c r="I30" i="1"/>
  <c r="F51" i="1"/>
  <c r="F55" i="1" s="1"/>
  <c r="H38" i="1"/>
  <c r="H41" i="1" s="1"/>
  <c r="M6" i="1"/>
  <c r="G43" i="1"/>
  <c r="G45" i="1" s="1"/>
  <c r="G46" i="1" s="1"/>
  <c r="G21" i="1" s="1"/>
  <c r="I50" i="1"/>
  <c r="J32" i="1"/>
  <c r="I40" i="1"/>
  <c r="I48" i="1" s="1"/>
  <c r="I34" i="1"/>
  <c r="I35" i="1" s="1"/>
  <c r="I20" i="1" s="1"/>
  <c r="I37" i="1"/>
  <c r="E22" i="1"/>
  <c r="L42" i="7" l="1"/>
  <c r="J21" i="7"/>
  <c r="J51" i="7"/>
  <c r="L38" i="7"/>
  <c r="L41" i="7" s="1"/>
  <c r="L20" i="7"/>
  <c r="I55" i="7"/>
  <c r="I22" i="7"/>
  <c r="M40" i="7"/>
  <c r="M48" i="7" s="1"/>
  <c r="M34" i="7"/>
  <c r="M35" i="7" s="1"/>
  <c r="M50" i="7"/>
  <c r="M37" i="7"/>
  <c r="K43" i="7"/>
  <c r="K45" i="7" s="1"/>
  <c r="K46" i="7" s="1"/>
  <c r="J21" i="6"/>
  <c r="J51" i="6"/>
  <c r="L20" i="6"/>
  <c r="L38" i="6"/>
  <c r="L41" i="6" s="1"/>
  <c r="L53" i="6"/>
  <c r="M19" i="6"/>
  <c r="E15" i="6"/>
  <c r="M40" i="6"/>
  <c r="M48" i="6" s="1"/>
  <c r="M34" i="6"/>
  <c r="M35" i="6" s="1"/>
  <c r="M50" i="6"/>
  <c r="M37" i="6"/>
  <c r="I55" i="6"/>
  <c r="I22" i="6"/>
  <c r="K43" i="6"/>
  <c r="K45" i="6" s="1"/>
  <c r="K46" i="6" s="1"/>
  <c r="L42" i="6"/>
  <c r="J30" i="1"/>
  <c r="M19" i="1"/>
  <c r="L53" i="1"/>
  <c r="E15" i="1"/>
  <c r="G51" i="1"/>
  <c r="G55" i="1" s="1"/>
  <c r="H43" i="1"/>
  <c r="H45" i="1" s="1"/>
  <c r="H46" i="1" s="1"/>
  <c r="H21" i="1" s="1"/>
  <c r="J40" i="1"/>
  <c r="J48" i="1" s="1"/>
  <c r="J37" i="1"/>
  <c r="J50" i="1"/>
  <c r="J34" i="1"/>
  <c r="J35" i="1" s="1"/>
  <c r="J20" i="1" s="1"/>
  <c r="K32" i="1"/>
  <c r="I38" i="1"/>
  <c r="I41" i="1" s="1"/>
  <c r="I42" i="1"/>
  <c r="F22" i="1"/>
  <c r="M38" i="7" l="1"/>
  <c r="M41" i="7" s="1"/>
  <c r="M20" i="7"/>
  <c r="K21" i="7"/>
  <c r="K51" i="7"/>
  <c r="L43" i="7"/>
  <c r="L45" i="7" s="1"/>
  <c r="L46" i="7" s="1"/>
  <c r="J55" i="7"/>
  <c r="J22" i="7"/>
  <c r="M42" i="7"/>
  <c r="K21" i="6"/>
  <c r="K51" i="6"/>
  <c r="M20" i="6"/>
  <c r="M38" i="6"/>
  <c r="M41" i="6" s="1"/>
  <c r="L43" i="6"/>
  <c r="L45" i="6" s="1"/>
  <c r="L46" i="6" s="1"/>
  <c r="M42" i="6"/>
  <c r="J55" i="6"/>
  <c r="J22" i="6"/>
  <c r="K30" i="1"/>
  <c r="H51" i="1"/>
  <c r="H55" i="1" s="1"/>
  <c r="I43" i="1"/>
  <c r="I45" i="1" s="1"/>
  <c r="I46" i="1" s="1"/>
  <c r="J38" i="1"/>
  <c r="J41" i="1" s="1"/>
  <c r="K37" i="1"/>
  <c r="K34" i="1"/>
  <c r="K35" i="1" s="1"/>
  <c r="K20" i="1" s="1"/>
  <c r="K50" i="1"/>
  <c r="L32" i="1"/>
  <c r="K40" i="1"/>
  <c r="K48" i="1" s="1"/>
  <c r="G22" i="1"/>
  <c r="J42" i="1"/>
  <c r="L21" i="7" l="1"/>
  <c r="L51" i="7"/>
  <c r="K55" i="7"/>
  <c r="K22" i="7"/>
  <c r="M43" i="7"/>
  <c r="M45" i="7" s="1"/>
  <c r="M46" i="7" s="1"/>
  <c r="L51" i="6"/>
  <c r="L21" i="6"/>
  <c r="M43" i="6"/>
  <c r="M45" i="6" s="1"/>
  <c r="M46" i="6" s="1"/>
  <c r="K55" i="6"/>
  <c r="K22" i="6"/>
  <c r="I21" i="1"/>
  <c r="I51" i="1"/>
  <c r="K42" i="1"/>
  <c r="L30" i="1"/>
  <c r="K38" i="1"/>
  <c r="K41" i="1" s="1"/>
  <c r="L50" i="1"/>
  <c r="L34" i="1"/>
  <c r="L35" i="1" s="1"/>
  <c r="L20" i="1" s="1"/>
  <c r="M32" i="1"/>
  <c r="L40" i="1"/>
  <c r="L48" i="1" s="1"/>
  <c r="L37" i="1"/>
  <c r="I55" i="1"/>
  <c r="J43" i="1"/>
  <c r="J45" i="1" s="1"/>
  <c r="J46" i="1" s="1"/>
  <c r="J21" i="1" s="1"/>
  <c r="H22" i="1"/>
  <c r="M51" i="7" l="1"/>
  <c r="M21" i="7"/>
  <c r="L55" i="7"/>
  <c r="L22" i="7"/>
  <c r="M51" i="6"/>
  <c r="M21" i="6"/>
  <c r="L55" i="6"/>
  <c r="L22" i="6"/>
  <c r="L42" i="1"/>
  <c r="M30" i="1"/>
  <c r="J51" i="1"/>
  <c r="J55" i="1" s="1"/>
  <c r="L38" i="1"/>
  <c r="L41" i="1" s="1"/>
  <c r="M50" i="1"/>
  <c r="M40" i="1"/>
  <c r="M48" i="1" s="1"/>
  <c r="M37" i="1"/>
  <c r="M34" i="1"/>
  <c r="M35" i="1" s="1"/>
  <c r="M20" i="1" s="1"/>
  <c r="I22" i="1"/>
  <c r="K43" i="1"/>
  <c r="K45" i="1" s="1"/>
  <c r="K46" i="1" s="1"/>
  <c r="K21" i="1" s="1"/>
  <c r="M53" i="7" l="1"/>
  <c r="M23" i="7" s="1"/>
  <c r="M22" i="7"/>
  <c r="M53" i="6"/>
  <c r="M23" i="6" s="1"/>
  <c r="M22" i="6"/>
  <c r="M42" i="1"/>
  <c r="K51" i="1"/>
  <c r="K55" i="1" s="1"/>
  <c r="M38" i="1"/>
  <c r="M41" i="1" s="1"/>
  <c r="L43" i="1"/>
  <c r="L45" i="1" s="1"/>
  <c r="L46" i="1" s="1"/>
  <c r="L21" i="1" s="1"/>
  <c r="J22" i="1"/>
  <c r="M55" i="7" l="1"/>
  <c r="C57" i="7" s="1"/>
  <c r="M55" i="6"/>
  <c r="C57" i="6" s="1"/>
  <c r="L51" i="1"/>
  <c r="L55" i="1" s="1"/>
  <c r="M43" i="1"/>
  <c r="M45" i="1" s="1"/>
  <c r="M46" i="1" s="1"/>
  <c r="M21" i="1" s="1"/>
  <c r="K22" i="1"/>
  <c r="C63" i="7" l="1"/>
  <c r="D25" i="7"/>
  <c r="D25" i="6"/>
  <c r="C63" i="6"/>
  <c r="M51" i="1"/>
  <c r="M53" i="1" s="1"/>
  <c r="L22" i="1"/>
  <c r="C65" i="7" l="1"/>
  <c r="C68" i="7" s="1"/>
  <c r="D27" i="7"/>
  <c r="C65" i="6"/>
  <c r="C68" i="6" s="1"/>
  <c r="D27" i="6"/>
  <c r="M55" i="1"/>
  <c r="C57" i="1" s="1"/>
  <c r="M22" i="1"/>
  <c r="D25" i="1" l="1"/>
  <c r="C63" i="1"/>
  <c r="C65" i="1" s="1"/>
  <c r="M23" i="1"/>
  <c r="C68" i="1" l="1"/>
  <c r="D27"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4"/>
        </ext>
      </extLst>
    </bk>
  </futureMetadata>
  <cellMetadata count="1">
    <bk>
      <rc t="1" v="0"/>
    </bk>
  </cellMetadata>
  <valueMetadata count="2">
    <bk>
      <rc t="2" v="0"/>
    </bk>
    <bk>
      <rc t="2" v="1"/>
    </bk>
  </valueMetadata>
</metadata>
</file>

<file path=xl/sharedStrings.xml><?xml version="1.0" encoding="utf-8"?>
<sst xmlns="http://schemas.openxmlformats.org/spreadsheetml/2006/main" count="201" uniqueCount="80">
  <si>
    <t>DCF MODEL WITH COMPANY VALUATION</t>
  </si>
  <si>
    <t>COMPANY NAME</t>
  </si>
  <si>
    <t>START YEAR</t>
  </si>
  <si>
    <t>YEARS ENDING</t>
  </si>
  <si>
    <t>STOCK TICKER SYMBOL</t>
  </si>
  <si>
    <t>CURRENT PRICE</t>
  </si>
  <si>
    <t>DEC 31st</t>
  </si>
  <si>
    <t>Complete non-shaded cells only.</t>
  </si>
  <si>
    <t>FORECASTING VARIABLES</t>
  </si>
  <si>
    <t>YEAR</t>
  </si>
  <si>
    <t>REVENUE GROWTH FACTOR</t>
  </si>
  <si>
    <t>EXPECTED GROSS PROFIT MARGIN</t>
  </si>
  <si>
    <t>S, G, &amp; A EXPENSE % OF REVENUE</t>
  </si>
  <si>
    <t>DEPRECIATION &amp; AMORTIZATION % OF REVENUE</t>
  </si>
  <si>
    <t>CAPITAL EXPENDITURE GROWTH FACTOR</t>
  </si>
  <si>
    <t>NET WORKING CAPITAL TO SALES RATIO</t>
  </si>
  <si>
    <t>INCOME TAX RATE</t>
  </si>
  <si>
    <t>ASSUMED LONG-TERM SUSTAINABLE GROWTH RATE</t>
  </si>
  <si>
    <t>PER YEAR AFTER</t>
  </si>
  <si>
    <t>DISCOUNT RATE</t>
  </si>
  <si>
    <t>VALUATION MODEL OUTPUTS</t>
  </si>
  <si>
    <t>GROSS PROFIT MARGIN</t>
  </si>
  <si>
    <t>NET OPERATING PROFIT MARGIN</t>
  </si>
  <si>
    <t>FREE CASH FLOW ($ MIL)</t>
  </si>
  <si>
    <t>TERMINAL VALUE ($ MIL)</t>
  </si>
  <si>
    <t>PRESENT VALUE OF COMPANY OPERATIONS ($ MIL)</t>
  </si>
  <si>
    <t>MARKET VALUE OF COMPANY ASSETS ($ MIL)</t>
  </si>
  <si>
    <t>ACTUAL</t>
  </si>
  <si>
    <t>FORECAST ––&gt;</t>
  </si>
  <si>
    <t>TOTAL REVENUE</t>
  </si>
  <si>
    <t>COST OF GOODS SOLD</t>
  </si>
  <si>
    <t>GROSS PROFIT</t>
  </si>
  <si>
    <t>SELLING, GENERAL AND ADMINISTRATIVE EXPENSES</t>
  </si>
  <si>
    <t>EARNINGS BEFORE INTEREST, TAXES, DEPR. &amp; AMORT. (EBITDA)</t>
  </si>
  <si>
    <t>DEPRECIATION AND AMORTIZATION</t>
  </si>
  <si>
    <t>EARNINGS BEFORE INTEREST AND TAXES (EBIT)</t>
  </si>
  <si>
    <t>AVAILABLE TAX-LOSS CARRYFORWARDS</t>
  </si>
  <si>
    <t>NET TAXABLE EARNINGS</t>
  </si>
  <si>
    <t>FEDERAL AND STATE INCOME TAXES</t>
  </si>
  <si>
    <t>NET OPERATING PROFIT AFTER-TAX (NOPAT)</t>
  </si>
  <si>
    <t>ADD BACK DEPRECIATION AND AMORTIZATION</t>
  </si>
  <si>
    <t>SUBTRACT CAPITAL EXPENDITURES</t>
  </si>
  <si>
    <t>SUBTRACT NEW NET WORKING CAPITAL</t>
  </si>
  <si>
    <t>FREE CASH FLOW</t>
  </si>
  <si>
    <t>TERMINAL VALUE</t>
  </si>
  <si>
    <t>PRESENT VALUE OF FREE CASH FLOWS @</t>
  </si>
  <si>
    <t>TOTAL PRESENT VALUE OF COMPANY OPERATIONS</t>
  </si>
  <si>
    <t>PLUS CURRENT ASSETS</t>
  </si>
  <si>
    <t>FROM BAL. SHEET</t>
  </si>
  <si>
    <t>LESS CURRENT LIABILITIES</t>
  </si>
  <si>
    <t>LESS LONG-TERM DEBT</t>
  </si>
  <si>
    <t>LESS PREFERRED STOCK</t>
  </si>
  <si>
    <t>NET MARKET VALUE OF COMPANY EQUITY</t>
  </si>
  <si>
    <t>NUMBER OF SHARES OUTSTANDING</t>
  </si>
  <si>
    <t>ESTIMATED MARKET PRICE PER SHARE</t>
  </si>
  <si>
    <t>CURRENT SHARE PRICE</t>
  </si>
  <si>
    <t>IS COMPANY OVERVALUED OR UNDERVALUED?</t>
  </si>
  <si>
    <t>WEIGHTED AVERAGE COST OF CAPITAL</t>
  </si>
  <si>
    <t>COST OF EQUITY (CAPM):</t>
  </si>
  <si>
    <t>CAPITAL STRUCTURE:</t>
  </si>
  <si>
    <t>MARKET RISK PREMIUM</t>
  </si>
  <si>
    <t>TOTAL EQUITY (MARKET CAP $)</t>
  </si>
  <si>
    <t>1.261B</t>
  </si>
  <si>
    <t>BETA</t>
  </si>
  <si>
    <t>MARKET VALUE OF DEBT ($)</t>
  </si>
  <si>
    <t>RISK FREE RATE</t>
  </si>
  <si>
    <t>TOTAL CAPITALIZATION</t>
  </si>
  <si>
    <t>COST OF EQUITY</t>
  </si>
  <si>
    <t>WEIGHT OF EQUITY (%)</t>
  </si>
  <si>
    <t>WEIGHT OF DEBT (%)</t>
  </si>
  <si>
    <t>COST OF EQUITY (DIVIDEND GROWTH):</t>
  </si>
  <si>
    <t>WACC:</t>
  </si>
  <si>
    <r>
      <t>EXPECTED DIVIDEND (D</t>
    </r>
    <r>
      <rPr>
        <vertAlign val="subscript"/>
        <sz val="10"/>
        <rFont val="Century Gothic"/>
        <family val="2"/>
      </rPr>
      <t>1</t>
    </r>
    <r>
      <rPr>
        <sz val="10"/>
        <rFont val="Century Gothic"/>
        <family val="1"/>
      </rPr>
      <t>)</t>
    </r>
  </si>
  <si>
    <r>
      <t>CURRENT PRICE (P</t>
    </r>
    <r>
      <rPr>
        <vertAlign val="subscript"/>
        <sz val="10"/>
        <rFont val="Century Gothic"/>
        <family val="2"/>
      </rPr>
      <t>0</t>
    </r>
    <r>
      <rPr>
        <sz val="10"/>
        <rFont val="Century Gothic"/>
        <family val="1"/>
      </rPr>
      <t>)</t>
    </r>
  </si>
  <si>
    <r>
      <t>EXPECTED GROWTH RATE (</t>
    </r>
    <r>
      <rPr>
        <i/>
        <sz val="10"/>
        <rFont val="Century Gothic"/>
        <family val="2"/>
      </rPr>
      <t>g</t>
    </r>
    <r>
      <rPr>
        <sz val="10"/>
        <rFont val="Century Gothic"/>
        <family val="1"/>
      </rPr>
      <t>)</t>
    </r>
  </si>
  <si>
    <t>AVERAGE COST OF EQUITY</t>
  </si>
  <si>
    <t>COST OF DEBT:</t>
  </si>
  <si>
    <t>BEFORE-TAX COST OF DEBT</t>
  </si>
  <si>
    <t>TAX RATE</t>
  </si>
  <si>
    <t>AFTER-TAX COST OF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</si>
</sst>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44" formatCode="_(&quot;$&quot;* #,##0.00_);_(&quot;$&quot;* \(#,##0.00\);_(&quot;$&quot;* &quot;-&quot;??_);_(@_)"/>
    <numFmt numFmtId="43" formatCode="_(* #,##0.00_);_(* \(#,##0.00\);_(* &quot;-&quot;??_);_(@_)"/>
    <numFmt numFmtId="164" formatCode="&quot;$&quot;#,##0.0_);\(&quot;$&quot;#,##0.0\)"/>
    <numFmt numFmtId="165" formatCode="&quot;$&quot;#,##0.00"/>
  </numFmts>
  <fonts count="27">
    <font>
      <sz val="11"/>
      <color indexed="8"/>
      <name val="Calibri"/>
      <family val="2"/>
      <scheme val="minor"/>
    </font>
    <font>
      <sz val="11"/>
      <color theme="1"/>
      <name val="Calibri"/>
      <family val="2"/>
      <scheme val="minor"/>
    </font>
    <font>
      <sz val="11"/>
      <color indexed="8"/>
      <name val="Century Gothic"/>
      <family val="1"/>
    </font>
    <font>
      <b/>
      <sz val="10"/>
      <color theme="1"/>
      <name val="Century Gothic"/>
      <family val="1"/>
    </font>
    <font>
      <sz val="10"/>
      <color rgb="FF000000"/>
      <name val="Century Gothic"/>
      <family val="1"/>
    </font>
    <font>
      <sz val="10"/>
      <color theme="1"/>
      <name val="Century Gothic"/>
      <family val="1"/>
    </font>
    <font>
      <b/>
      <sz val="20"/>
      <color theme="1" tint="0.34998626667073579"/>
      <name val="Century Gothic"/>
      <family val="1"/>
    </font>
    <font>
      <sz val="11"/>
      <color indexed="8"/>
      <name val="Calibri"/>
      <family val="2"/>
      <scheme val="minor"/>
    </font>
    <font>
      <sz val="8"/>
      <name val="Calibri"/>
      <family val="2"/>
      <scheme val="minor"/>
    </font>
    <font>
      <sz val="10"/>
      <color indexed="8"/>
      <name val="Century Gothic"/>
      <family val="1"/>
    </font>
    <font>
      <sz val="11"/>
      <color theme="1"/>
      <name val="Century Gothic"/>
      <family val="1"/>
    </font>
    <font>
      <sz val="14"/>
      <color indexed="8"/>
      <name val="Century Gothic"/>
      <family val="1"/>
    </font>
    <font>
      <b/>
      <sz val="10"/>
      <name val="Arial"/>
      <family val="2"/>
    </font>
    <font>
      <sz val="10"/>
      <name val="Arial"/>
      <family val="2"/>
    </font>
    <font>
      <b/>
      <sz val="10"/>
      <name val="Century Gothic"/>
      <family val="1"/>
    </font>
    <font>
      <sz val="10"/>
      <name val="Century Gothic"/>
      <family val="1"/>
    </font>
    <font>
      <sz val="14"/>
      <name val="Century Gothic"/>
      <family val="1"/>
    </font>
    <font>
      <sz val="16"/>
      <name val="Century Gothic"/>
      <family val="1"/>
    </font>
    <font>
      <sz val="10"/>
      <color theme="0" tint="-0.499984740745262"/>
      <name val="Century Gothic"/>
      <family val="1"/>
    </font>
    <font>
      <b/>
      <sz val="10"/>
      <color indexed="8"/>
      <name val="Century Gothic"/>
      <family val="1"/>
    </font>
    <font>
      <b/>
      <sz val="10"/>
      <name val="Century Gothic"/>
      <family val="2"/>
    </font>
    <font>
      <vertAlign val="subscript"/>
      <sz val="10"/>
      <name val="Century Gothic"/>
      <family val="2"/>
    </font>
    <font>
      <i/>
      <sz val="10"/>
      <name val="Century Gothic"/>
      <family val="2"/>
    </font>
    <font>
      <sz val="10"/>
      <color theme="1"/>
      <name val="Century Gothic"/>
      <family val="2"/>
    </font>
    <font>
      <b/>
      <sz val="10"/>
      <color theme="1"/>
      <name val="Century Gothic"/>
      <family val="2"/>
    </font>
    <font>
      <sz val="10"/>
      <name val="Century Gothic"/>
      <family val="2"/>
    </font>
    <font>
      <b/>
      <sz val="11"/>
      <color indexed="8"/>
      <name val="Calibri"/>
      <family val="2"/>
      <scheme val="minor"/>
    </font>
  </fonts>
  <fills count="9">
    <fill>
      <patternFill patternType="none"/>
    </fill>
    <fill>
      <patternFill patternType="gray125"/>
    </fill>
    <fill>
      <patternFill patternType="none">
        <fgColor rgb="FFE5E5E5"/>
      </patternFill>
    </fill>
    <fill>
      <patternFill patternType="solid">
        <fgColor theme="3" tint="0.79998168889431442"/>
        <bgColor indexed="64"/>
      </patternFill>
    </fill>
    <fill>
      <patternFill patternType="solid">
        <fgColor theme="0"/>
        <bgColor indexed="64"/>
      </patternFill>
    </fill>
    <fill>
      <patternFill patternType="solid">
        <fgColor rgb="FFEAEEF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EBEBEB"/>
        <bgColor indexed="64"/>
      </patternFill>
    </fill>
  </fills>
  <borders count="20">
    <border>
      <left/>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thick">
        <color theme="0" tint="-0.499984740745262"/>
      </top>
      <bottom style="medium">
        <color theme="0" tint="-0.249977111117893"/>
      </bottom>
      <diagonal/>
    </border>
    <border>
      <left style="thin">
        <color theme="0" tint="-0.249977111117893"/>
      </left>
      <right/>
      <top style="thick">
        <color theme="0" tint="-0.499984740745262"/>
      </top>
      <bottom style="medium">
        <color theme="0" tint="-0.249977111117893"/>
      </bottom>
      <diagonal/>
    </border>
    <border>
      <left/>
      <right style="thin">
        <color theme="0" tint="-0.249977111117893"/>
      </right>
      <top style="thick">
        <color theme="0" tint="-0.499984740745262"/>
      </top>
      <bottom style="medium">
        <color theme="0" tint="-0.249977111117893"/>
      </bottom>
      <diagonal/>
    </border>
    <border>
      <left style="thin">
        <color theme="0" tint="-0.249977111117893"/>
      </left>
      <right style="thin">
        <color theme="0" tint="-0.249977111117893"/>
      </right>
      <top style="thick">
        <color theme="0" tint="-0.499984740745262"/>
      </top>
      <bottom style="thin">
        <color theme="0" tint="-0.249977111117893"/>
      </bottom>
      <diagonal/>
    </border>
    <border>
      <left style="thin">
        <color theme="0" tint="-0.249977111117893"/>
      </left>
      <right/>
      <top style="thick">
        <color theme="0" tint="-0.499984740745262"/>
      </top>
      <bottom style="thin">
        <color theme="0" tint="-0.249977111117893"/>
      </bottom>
      <diagonal/>
    </border>
    <border>
      <left/>
      <right/>
      <top style="thick">
        <color theme="0" tint="-0.499984740745262"/>
      </top>
      <bottom style="thin">
        <color theme="0" tint="-0.249977111117893"/>
      </bottom>
      <diagonal/>
    </border>
    <border>
      <left/>
      <right style="thin">
        <color theme="0" tint="-0.249977111117893"/>
      </right>
      <top style="thick">
        <color theme="0" tint="-0.499984740745262"/>
      </top>
      <bottom style="thin">
        <color theme="0" tint="-0.249977111117893"/>
      </bottom>
      <diagonal/>
    </border>
    <border>
      <left style="thin">
        <color theme="0" tint="-0.249977111117893"/>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bottom/>
      <diagonal/>
    </border>
  </borders>
  <cellStyleXfs count="5">
    <xf numFmtId="0" fontId="0" fillId="0" borderId="0"/>
    <xf numFmtId="0" fontId="1" fillId="2" borderId="0"/>
    <xf numFmtId="9"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cellStyleXfs>
  <cellXfs count="133">
    <xf numFmtId="0" fontId="0" fillId="0" borderId="0" xfId="0"/>
    <xf numFmtId="0" fontId="2" fillId="0" borderId="0" xfId="0" applyFont="1"/>
    <xf numFmtId="0" fontId="9" fillId="0" borderId="0" xfId="0" applyFont="1"/>
    <xf numFmtId="5" fontId="9" fillId="0" borderId="0" xfId="0" applyNumberFormat="1" applyFont="1"/>
    <xf numFmtId="0" fontId="4" fillId="0" borderId="0" xfId="0" applyFont="1" applyAlignment="1">
      <alignment wrapText="1"/>
    </xf>
    <xf numFmtId="0" fontId="4" fillId="0" borderId="0" xfId="0" applyFont="1" applyAlignment="1">
      <alignment horizontal="left" wrapText="1"/>
    </xf>
    <xf numFmtId="0" fontId="9" fillId="0" borderId="0" xfId="0" applyFont="1" applyAlignment="1">
      <alignment vertical="center"/>
    </xf>
    <xf numFmtId="0" fontId="5" fillId="0" borderId="0" xfId="0" applyFont="1" applyAlignment="1">
      <alignment horizontal="left" vertical="center" wrapText="1" indent="1"/>
    </xf>
    <xf numFmtId="0" fontId="6" fillId="0" borderId="0" xfId="0" applyFont="1" applyAlignment="1">
      <alignment vertical="center"/>
    </xf>
    <xf numFmtId="0" fontId="12" fillId="0" borderId="0" xfId="0" applyFont="1"/>
    <xf numFmtId="5" fontId="14" fillId="0" borderId="0" xfId="0" applyNumberFormat="1" applyFont="1"/>
    <xf numFmtId="0" fontId="15" fillId="0" borderId="0" xfId="0" quotePrefix="1" applyFont="1" applyAlignment="1">
      <alignment horizontal="right"/>
    </xf>
    <xf numFmtId="0" fontId="15" fillId="0" borderId="0" xfId="0" applyFont="1"/>
    <xf numFmtId="0" fontId="9" fillId="0" borderId="0" xfId="0" applyFont="1" applyAlignment="1">
      <alignment horizontal="left"/>
    </xf>
    <xf numFmtId="0" fontId="17" fillId="0" borderId="0" xfId="0" applyFont="1"/>
    <xf numFmtId="0" fontId="14" fillId="0" borderId="0" xfId="0" applyFont="1" applyAlignment="1">
      <alignment vertical="center"/>
    </xf>
    <xf numFmtId="0" fontId="0" fillId="0" borderId="0" xfId="0" applyAlignment="1">
      <alignment vertical="center"/>
    </xf>
    <xf numFmtId="0" fontId="15" fillId="0" borderId="0" xfId="0" quotePrefix="1" applyFont="1" applyAlignment="1">
      <alignment horizontal="left" vertical="center"/>
    </xf>
    <xf numFmtId="0" fontId="15" fillId="0" borderId="0" xfId="0" applyFont="1" applyAlignment="1">
      <alignment vertical="center"/>
    </xf>
    <xf numFmtId="9" fontId="3" fillId="0" borderId="4" xfId="0" applyNumberFormat="1" applyFont="1" applyBorder="1" applyAlignment="1">
      <alignment horizontal="center" vertical="center"/>
    </xf>
    <xf numFmtId="9" fontId="3" fillId="0" borderId="2" xfId="0" applyNumberFormat="1" applyFont="1" applyBorder="1" applyAlignment="1">
      <alignment horizontal="center" vertical="center"/>
    </xf>
    <xf numFmtId="0" fontId="14" fillId="3" borderId="12" xfId="0" applyFont="1" applyFill="1" applyBorder="1" applyAlignment="1">
      <alignment vertical="center"/>
    </xf>
    <xf numFmtId="0" fontId="14" fillId="3" borderId="10" xfId="0" applyFont="1" applyFill="1" applyBorder="1" applyAlignment="1">
      <alignment horizontal="center" vertical="center"/>
    </xf>
    <xf numFmtId="0" fontId="15" fillId="3" borderId="11" xfId="0" applyFont="1" applyFill="1" applyBorder="1" applyAlignment="1">
      <alignment horizontal="left" vertical="center" indent="1"/>
    </xf>
    <xf numFmtId="0" fontId="10" fillId="0" borderId="3" xfId="0" applyFont="1" applyBorder="1" applyAlignment="1">
      <alignment horizontal="center" vertical="center" wrapText="1"/>
    </xf>
    <xf numFmtId="0" fontId="18" fillId="0" borderId="0" xfId="0" applyFont="1"/>
    <xf numFmtId="0" fontId="18" fillId="0" borderId="0" xfId="0" applyFont="1" applyAlignment="1">
      <alignment horizontal="center" wrapText="1"/>
    </xf>
    <xf numFmtId="164" fontId="9" fillId="0" borderId="0" xfId="0" applyNumberFormat="1" applyFont="1" applyAlignment="1">
      <alignment vertical="center"/>
    </xf>
    <xf numFmtId="164" fontId="14" fillId="0" borderId="0" xfId="0" applyNumberFormat="1" applyFont="1" applyAlignment="1">
      <alignment vertical="center"/>
    </xf>
    <xf numFmtId="0" fontId="19" fillId="3" borderId="10" xfId="0" applyFont="1" applyFill="1" applyBorder="1" applyAlignment="1">
      <alignment horizontal="center" vertical="center"/>
    </xf>
    <xf numFmtId="0" fontId="9" fillId="0" borderId="0" xfId="0" quotePrefix="1" applyFont="1" applyAlignment="1">
      <alignment horizontal="left" vertical="center" indent="1"/>
    </xf>
    <xf numFmtId="0" fontId="14" fillId="0" borderId="0" xfId="0" quotePrefix="1" applyFont="1" applyAlignment="1">
      <alignment horizontal="left" vertical="center" indent="1"/>
    </xf>
    <xf numFmtId="0" fontId="14" fillId="3" borderId="12" xfId="0" applyFont="1" applyFill="1" applyBorder="1" applyAlignment="1">
      <alignment horizontal="center" vertical="center"/>
    </xf>
    <xf numFmtId="9" fontId="9" fillId="5" borderId="7" xfId="2" applyFont="1" applyFill="1" applyBorder="1" applyAlignment="1">
      <alignment horizontal="center" vertical="center"/>
    </xf>
    <xf numFmtId="9" fontId="9" fillId="5" borderId="1" xfId="2" applyFont="1" applyFill="1" applyBorder="1" applyAlignment="1">
      <alignment horizontal="center" vertical="center"/>
    </xf>
    <xf numFmtId="9" fontId="9" fillId="5" borderId="4" xfId="2" applyFont="1" applyFill="1" applyBorder="1" applyAlignment="1">
      <alignment horizontal="center" vertical="center"/>
    </xf>
    <xf numFmtId="9" fontId="9" fillId="5" borderId="2" xfId="2" applyFont="1" applyFill="1" applyBorder="1" applyAlignment="1">
      <alignment horizontal="center" vertical="center"/>
    </xf>
    <xf numFmtId="164" fontId="9" fillId="5" borderId="4" xfId="0" applyNumberFormat="1" applyFont="1" applyFill="1" applyBorder="1" applyAlignment="1">
      <alignment horizontal="center" vertical="center"/>
    </xf>
    <xf numFmtId="164" fontId="9" fillId="5" borderId="2" xfId="0" applyNumberFormat="1" applyFont="1" applyFill="1" applyBorder="1" applyAlignment="1">
      <alignment horizontal="center" vertical="center"/>
    </xf>
    <xf numFmtId="164" fontId="9" fillId="5" borderId="3" xfId="0" applyNumberFormat="1" applyFont="1" applyFill="1" applyBorder="1" applyAlignment="1">
      <alignment horizontal="center" vertical="center"/>
    </xf>
    <xf numFmtId="0" fontId="14" fillId="6" borderId="8" xfId="0" quotePrefix="1" applyFont="1" applyFill="1" applyBorder="1" applyAlignment="1">
      <alignment horizontal="left" vertical="center" indent="1"/>
    </xf>
    <xf numFmtId="0" fontId="14" fillId="6" borderId="9" xfId="0" applyFont="1" applyFill="1" applyBorder="1" applyAlignment="1">
      <alignment vertical="center"/>
    </xf>
    <xf numFmtId="0" fontId="14" fillId="6" borderId="13" xfId="0" quotePrefix="1" applyFont="1" applyFill="1" applyBorder="1" applyAlignment="1">
      <alignment horizontal="center" vertical="center"/>
    </xf>
    <xf numFmtId="0" fontId="14" fillId="3" borderId="14" xfId="0" quotePrefix="1" applyFont="1" applyFill="1" applyBorder="1" applyAlignment="1">
      <alignment horizontal="left" vertical="center" indent="1"/>
    </xf>
    <xf numFmtId="0" fontId="14" fillId="3" borderId="15" xfId="0" applyFont="1" applyFill="1" applyBorder="1" applyAlignment="1">
      <alignment vertical="center"/>
    </xf>
    <xf numFmtId="0" fontId="14" fillId="3" borderId="16" xfId="0" applyFont="1" applyFill="1" applyBorder="1" applyAlignment="1">
      <alignment vertical="center"/>
    </xf>
    <xf numFmtId="0" fontId="14" fillId="6" borderId="17" xfId="0" applyFont="1" applyFill="1" applyBorder="1" applyAlignment="1">
      <alignment horizontal="center" vertical="center"/>
    </xf>
    <xf numFmtId="0" fontId="14" fillId="3" borderId="17" xfId="0" applyFont="1" applyFill="1" applyBorder="1" applyAlignment="1">
      <alignment horizontal="center" vertical="center"/>
    </xf>
    <xf numFmtId="0" fontId="16" fillId="0" borderId="0" xfId="0" quotePrefix="1" applyFont="1" applyAlignment="1">
      <alignment horizontal="right" vertical="center"/>
    </xf>
    <xf numFmtId="0" fontId="11" fillId="0" borderId="0" xfId="0" applyFont="1" applyAlignment="1">
      <alignment horizontal="left" vertical="center"/>
    </xf>
    <xf numFmtId="5" fontId="14" fillId="0" borderId="2" xfId="0" applyNumberFormat="1" applyFont="1" applyBorder="1" applyAlignment="1">
      <alignment vertical="center"/>
    </xf>
    <xf numFmtId="37" fontId="9" fillId="0" borderId="2" xfId="0" applyNumberFormat="1" applyFont="1" applyBorder="1" applyAlignment="1">
      <alignment vertical="center"/>
    </xf>
    <xf numFmtId="0" fontId="13" fillId="0" borderId="0" xfId="0" applyFont="1" applyAlignment="1">
      <alignment vertical="center"/>
    </xf>
    <xf numFmtId="5" fontId="12" fillId="0" borderId="0" xfId="0" applyNumberFormat="1" applyFont="1" applyAlignment="1">
      <alignment vertical="center"/>
    </xf>
    <xf numFmtId="5" fontId="14" fillId="5" borderId="2" xfId="0" applyNumberFormat="1" applyFont="1" applyFill="1" applyBorder="1" applyAlignment="1">
      <alignment vertical="center"/>
    </xf>
    <xf numFmtId="37" fontId="14" fillId="0" borderId="2" xfId="0" applyNumberFormat="1" applyFont="1" applyBorder="1" applyAlignment="1">
      <alignment vertical="center"/>
    </xf>
    <xf numFmtId="37" fontId="15" fillId="0" borderId="0" xfId="0" applyNumberFormat="1" applyFont="1" applyAlignment="1">
      <alignment vertical="center"/>
    </xf>
    <xf numFmtId="37" fontId="9" fillId="5" borderId="2" xfId="0" applyNumberFormat="1" applyFont="1" applyFill="1" applyBorder="1" applyAlignment="1">
      <alignment vertical="center"/>
    </xf>
    <xf numFmtId="37" fontId="14" fillId="5" borderId="2" xfId="0" applyNumberFormat="1" applyFont="1" applyFill="1" applyBorder="1" applyAlignment="1">
      <alignment vertical="center"/>
    </xf>
    <xf numFmtId="37" fontId="15" fillId="5" borderId="2" xfId="0" applyNumberFormat="1" applyFont="1" applyFill="1" applyBorder="1" applyAlignment="1">
      <alignment vertical="center"/>
    </xf>
    <xf numFmtId="37" fontId="9" fillId="6" borderId="2" xfId="0" applyNumberFormat="1" applyFont="1" applyFill="1" applyBorder="1" applyAlignment="1">
      <alignment vertical="center"/>
    </xf>
    <xf numFmtId="5" fontId="14" fillId="3" borderId="3" xfId="0" applyNumberFormat="1" applyFont="1" applyFill="1" applyBorder="1" applyAlignment="1">
      <alignment vertical="center"/>
    </xf>
    <xf numFmtId="37" fontId="9" fillId="5" borderId="3" xfId="0" applyNumberFormat="1" applyFont="1" applyFill="1" applyBorder="1" applyAlignment="1">
      <alignment vertical="center"/>
    </xf>
    <xf numFmtId="0" fontId="9" fillId="0" borderId="0" xfId="0" quotePrefix="1" applyFont="1" applyAlignment="1">
      <alignment horizontal="left" indent="1"/>
    </xf>
    <xf numFmtId="0" fontId="9" fillId="0" borderId="0" xfId="0" applyFont="1" applyAlignment="1">
      <alignment horizontal="left" indent="1"/>
    </xf>
    <xf numFmtId="0" fontId="15" fillId="0" borderId="0" xfId="0" quotePrefix="1" applyFont="1" applyAlignment="1">
      <alignment horizontal="left" vertical="center" indent="1"/>
    </xf>
    <xf numFmtId="9" fontId="9" fillId="3" borderId="9" xfId="0" applyNumberFormat="1" applyFont="1" applyFill="1" applyBorder="1" applyAlignment="1">
      <alignment horizontal="left" vertical="center"/>
    </xf>
    <xf numFmtId="0" fontId="9" fillId="3" borderId="8" xfId="0" quotePrefix="1" applyFont="1" applyFill="1" applyBorder="1" applyAlignment="1">
      <alignment horizontal="right" vertical="center" indent="1"/>
    </xf>
    <xf numFmtId="0" fontId="14" fillId="0" borderId="0" xfId="0" quotePrefix="1" applyFont="1" applyAlignment="1">
      <alignment horizontal="right" vertical="center" indent="1"/>
    </xf>
    <xf numFmtId="0" fontId="15" fillId="0" borderId="0" xfId="0" quotePrefix="1" applyFont="1" applyAlignment="1">
      <alignment horizontal="right" vertical="center" indent="1"/>
    </xf>
    <xf numFmtId="0" fontId="15" fillId="0" borderId="0" xfId="0" applyFont="1" applyAlignment="1">
      <alignment horizontal="right" vertical="center" indent="1"/>
    </xf>
    <xf numFmtId="0" fontId="15" fillId="7" borderId="6" xfId="0" quotePrefix="1" applyFont="1" applyFill="1" applyBorder="1" applyAlignment="1">
      <alignment horizontal="left" vertical="center" indent="1"/>
    </xf>
    <xf numFmtId="9" fontId="15" fillId="7" borderId="7" xfId="2" applyFont="1" applyFill="1" applyBorder="1" applyAlignment="1">
      <alignment vertical="center"/>
    </xf>
    <xf numFmtId="0" fontId="15" fillId="7" borderId="5" xfId="0" quotePrefix="1" applyFont="1" applyFill="1" applyBorder="1" applyAlignment="1">
      <alignment horizontal="left" vertical="center" indent="1"/>
    </xf>
    <xf numFmtId="9" fontId="15" fillId="7" borderId="4" xfId="2" applyFont="1" applyFill="1" applyBorder="1" applyAlignment="1">
      <alignment vertical="center"/>
    </xf>
    <xf numFmtId="0" fontId="15" fillId="5" borderId="2" xfId="0" quotePrefix="1" applyFont="1" applyFill="1" applyBorder="1" applyAlignment="1">
      <alignment horizontal="left" vertical="center" indent="1"/>
    </xf>
    <xf numFmtId="0" fontId="9" fillId="5" borderId="6" xfId="0" quotePrefix="1" applyFont="1" applyFill="1" applyBorder="1" applyAlignment="1">
      <alignment horizontal="left" vertical="center" indent="1"/>
    </xf>
    <xf numFmtId="0" fontId="9" fillId="5" borderId="7" xfId="0" applyFont="1" applyFill="1" applyBorder="1" applyAlignment="1">
      <alignment vertical="center"/>
    </xf>
    <xf numFmtId="0" fontId="9" fillId="5" borderId="5" xfId="0" quotePrefix="1" applyFont="1" applyFill="1" applyBorder="1" applyAlignment="1">
      <alignment horizontal="left" vertical="center" indent="1"/>
    </xf>
    <xf numFmtId="0" fontId="9" fillId="5" borderId="4" xfId="0" applyFont="1" applyFill="1" applyBorder="1" applyAlignment="1">
      <alignment vertical="center"/>
    </xf>
    <xf numFmtId="37" fontId="15" fillId="4" borderId="18" xfId="0" applyNumberFormat="1" applyFont="1" applyFill="1" applyBorder="1" applyAlignment="1">
      <alignment vertical="center"/>
    </xf>
    <xf numFmtId="37" fontId="9" fillId="4" borderId="2" xfId="0" applyNumberFormat="1" applyFont="1" applyFill="1" applyBorder="1" applyAlignment="1">
      <alignment vertical="center"/>
    </xf>
    <xf numFmtId="0" fontId="14" fillId="8" borderId="2" xfId="0" quotePrefix="1" applyFont="1" applyFill="1" applyBorder="1" applyAlignment="1">
      <alignment horizontal="left" vertical="center" indent="1"/>
    </xf>
    <xf numFmtId="0" fontId="9" fillId="8" borderId="2" xfId="0" applyFont="1" applyFill="1" applyBorder="1" applyAlignment="1">
      <alignment horizontal="left" vertical="center" indent="1"/>
    </xf>
    <xf numFmtId="0" fontId="14" fillId="8" borderId="2" xfId="0" applyFont="1" applyFill="1" applyBorder="1" applyAlignment="1">
      <alignment horizontal="left" vertical="center" indent="1"/>
    </xf>
    <xf numFmtId="37" fontId="9" fillId="8" borderId="2" xfId="0" applyNumberFormat="1" applyFont="1" applyFill="1" applyBorder="1" applyAlignment="1">
      <alignment vertical="center"/>
    </xf>
    <xf numFmtId="0" fontId="9" fillId="8" borderId="2" xfId="0" quotePrefix="1" applyFont="1" applyFill="1" applyBorder="1" applyAlignment="1">
      <alignment horizontal="left" vertical="center" indent="1"/>
    </xf>
    <xf numFmtId="37" fontId="14" fillId="8" borderId="2" xfId="0" applyNumberFormat="1" applyFont="1" applyFill="1" applyBorder="1" applyAlignment="1">
      <alignment vertical="center"/>
    </xf>
    <xf numFmtId="0" fontId="15" fillId="8" borderId="2" xfId="0" quotePrefix="1" applyFont="1" applyFill="1" applyBorder="1" applyAlignment="1">
      <alignment horizontal="left" vertical="center" indent="1"/>
    </xf>
    <xf numFmtId="37" fontId="15" fillId="8" borderId="2" xfId="0" applyNumberFormat="1" applyFont="1" applyFill="1" applyBorder="1" applyAlignment="1">
      <alignment vertical="center"/>
    </xf>
    <xf numFmtId="37" fontId="14" fillId="8" borderId="1" xfId="0" applyNumberFormat="1" applyFont="1" applyFill="1" applyBorder="1" applyAlignment="1">
      <alignment vertical="center"/>
    </xf>
    <xf numFmtId="5" fontId="14" fillId="8" borderId="2" xfId="0" applyNumberFormat="1" applyFont="1" applyFill="1" applyBorder="1" applyAlignment="1">
      <alignment vertical="center"/>
    </xf>
    <xf numFmtId="164" fontId="14" fillId="8" borderId="3" xfId="0" applyNumberFormat="1" applyFont="1" applyFill="1" applyBorder="1" applyAlignment="1">
      <alignment vertical="center"/>
    </xf>
    <xf numFmtId="164" fontId="3" fillId="8" borderId="3" xfId="0" applyNumberFormat="1" applyFont="1" applyFill="1" applyBorder="1" applyAlignment="1">
      <alignment vertical="center"/>
    </xf>
    <xf numFmtId="0" fontId="9" fillId="0" borderId="0" xfId="0" applyFont="1" applyAlignment="1">
      <alignment horizontal="left" vertical="center"/>
    </xf>
    <xf numFmtId="0" fontId="9" fillId="3" borderId="8" xfId="0" quotePrefix="1" applyFont="1" applyFill="1" applyBorder="1" applyAlignment="1">
      <alignment horizontal="left" vertical="center" indent="1"/>
    </xf>
    <xf numFmtId="0" fontId="9" fillId="3" borderId="9" xfId="0" applyFont="1" applyFill="1" applyBorder="1" applyAlignment="1">
      <alignment vertical="center"/>
    </xf>
    <xf numFmtId="0" fontId="9" fillId="3" borderId="9" xfId="0" applyFont="1" applyFill="1" applyBorder="1" applyAlignment="1">
      <alignment horizontal="center" vertical="center"/>
    </xf>
    <xf numFmtId="0" fontId="9" fillId="3" borderId="3" xfId="0" applyFont="1" applyFill="1" applyBorder="1" applyAlignment="1">
      <alignment horizontal="center" vertical="center"/>
    </xf>
    <xf numFmtId="0" fontId="20" fillId="7" borderId="5" xfId="0" quotePrefix="1" applyFont="1" applyFill="1" applyBorder="1" applyAlignment="1">
      <alignment horizontal="left" vertical="center"/>
    </xf>
    <xf numFmtId="0" fontId="20" fillId="3" borderId="11" xfId="0" applyFont="1" applyFill="1" applyBorder="1" applyAlignment="1">
      <alignment horizontal="left" vertical="center"/>
    </xf>
    <xf numFmtId="0" fontId="25" fillId="7" borderId="5" xfId="0" quotePrefix="1" applyFont="1" applyFill="1" applyBorder="1" applyAlignment="1">
      <alignment horizontal="left" vertical="center" indent="1"/>
    </xf>
    <xf numFmtId="43" fontId="23" fillId="0" borderId="4" xfId="3" applyFont="1" applyBorder="1" applyAlignment="1">
      <alignment horizontal="center" vertical="center"/>
    </xf>
    <xf numFmtId="9" fontId="23" fillId="0" borderId="4" xfId="2" applyFont="1" applyBorder="1" applyAlignment="1">
      <alignment horizontal="center" vertical="center"/>
    </xf>
    <xf numFmtId="44" fontId="23" fillId="0" borderId="4" xfId="4" applyFont="1" applyBorder="1" applyAlignment="1">
      <alignment horizontal="center" vertical="center"/>
    </xf>
    <xf numFmtId="44" fontId="14" fillId="3" borderId="3" xfId="4" applyFont="1" applyFill="1" applyBorder="1" applyAlignment="1">
      <alignment vertical="center"/>
    </xf>
    <xf numFmtId="44" fontId="14" fillId="8" borderId="2" xfId="0" applyNumberFormat="1" applyFont="1" applyFill="1" applyBorder="1" applyAlignment="1">
      <alignment vertical="center"/>
    </xf>
    <xf numFmtId="0" fontId="25" fillId="0" borderId="0" xfId="0" quotePrefix="1" applyFont="1" applyAlignment="1">
      <alignment horizontal="right" vertical="center" indent="1"/>
    </xf>
    <xf numFmtId="5" fontId="14" fillId="3" borderId="3" xfId="0" applyNumberFormat="1" applyFont="1" applyFill="1" applyBorder="1" applyAlignment="1">
      <alignment horizontal="center" vertical="center"/>
    </xf>
    <xf numFmtId="44" fontId="15" fillId="3" borderId="11" xfId="4" applyFont="1" applyFill="1" applyBorder="1" applyAlignment="1">
      <alignment horizontal="left" vertical="center" indent="1"/>
    </xf>
    <xf numFmtId="10" fontId="23" fillId="0" borderId="4" xfId="2" applyNumberFormat="1" applyFont="1" applyBorder="1" applyAlignment="1">
      <alignment horizontal="center" vertical="center"/>
    </xf>
    <xf numFmtId="10" fontId="23" fillId="0" borderId="4" xfId="0" applyNumberFormat="1" applyFont="1" applyBorder="1" applyAlignment="1">
      <alignment horizontal="center" vertical="center"/>
    </xf>
    <xf numFmtId="44" fontId="23" fillId="0" borderId="4" xfId="0" applyNumberFormat="1" applyFont="1" applyBorder="1" applyAlignment="1">
      <alignment horizontal="center" vertical="center"/>
    </xf>
    <xf numFmtId="5" fontId="13" fillId="0" borderId="0" xfId="0" applyNumberFormat="1" applyFont="1" applyAlignment="1">
      <alignment vertical="center"/>
    </xf>
    <xf numFmtId="9" fontId="3" fillId="2" borderId="7" xfId="2" applyFont="1" applyFill="1" applyBorder="1" applyAlignment="1">
      <alignment horizontal="center" vertical="center"/>
    </xf>
    <xf numFmtId="9" fontId="3" fillId="2" borderId="1" xfId="2" applyFont="1" applyFill="1" applyBorder="1" applyAlignment="1">
      <alignment horizontal="center" vertical="center"/>
    </xf>
    <xf numFmtId="9" fontId="3" fillId="2" borderId="4" xfId="2" applyFont="1" applyFill="1" applyBorder="1" applyAlignment="1">
      <alignment horizontal="center" vertical="center"/>
    </xf>
    <xf numFmtId="9" fontId="3" fillId="2" borderId="2" xfId="2" applyFont="1" applyFill="1" applyBorder="1" applyAlignment="1">
      <alignment horizontal="center" vertical="center"/>
    </xf>
    <xf numFmtId="9" fontId="15" fillId="2" borderId="0" xfId="2" applyFont="1" applyFill="1" applyAlignment="1">
      <alignment vertical="center"/>
    </xf>
    <xf numFmtId="9" fontId="9" fillId="2" borderId="7" xfId="2" applyFont="1" applyFill="1" applyBorder="1" applyAlignment="1">
      <alignment horizontal="center" vertical="center"/>
    </xf>
    <xf numFmtId="1" fontId="15" fillId="2" borderId="0" xfId="2" applyNumberFormat="1" applyFont="1" applyFill="1" applyAlignment="1">
      <alignment horizontal="left" vertical="center"/>
    </xf>
    <xf numFmtId="9" fontId="15" fillId="2" borderId="0" xfId="2" applyFont="1" applyFill="1"/>
    <xf numFmtId="9" fontId="9" fillId="2" borderId="0" xfId="2" applyFont="1" applyFill="1"/>
    <xf numFmtId="10" fontId="23" fillId="2" borderId="7" xfId="2" applyNumberFormat="1" applyFont="1" applyFill="1" applyBorder="1" applyAlignment="1">
      <alignment horizontal="center" vertical="center"/>
    </xf>
    <xf numFmtId="44" fontId="23" fillId="2" borderId="7" xfId="4" applyFont="1" applyFill="1" applyBorder="1" applyAlignment="1">
      <alignment horizontal="center" vertical="center"/>
    </xf>
    <xf numFmtId="10" fontId="24" fillId="2" borderId="4" xfId="2" applyNumberFormat="1" applyFont="1" applyFill="1" applyBorder="1" applyAlignment="1">
      <alignment horizontal="center" vertical="center"/>
    </xf>
    <xf numFmtId="9" fontId="24" fillId="2" borderId="4" xfId="2" applyFont="1" applyFill="1" applyBorder="1" applyAlignment="1">
      <alignment horizontal="center" vertical="center"/>
    </xf>
    <xf numFmtId="43" fontId="23" fillId="2" borderId="7" xfId="3" applyFont="1" applyFill="1" applyBorder="1" applyAlignment="1">
      <alignment horizontal="center" vertical="center"/>
    </xf>
    <xf numFmtId="165" fontId="5" fillId="0" borderId="0" xfId="0" applyNumberFormat="1" applyFont="1" applyAlignment="1">
      <alignment horizontal="left" vertical="center" wrapText="1" indent="1"/>
    </xf>
    <xf numFmtId="44" fontId="0" fillId="0" borderId="0" xfId="0" applyNumberFormat="1"/>
    <xf numFmtId="9" fontId="26" fillId="0" borderId="0" xfId="2" applyFont="1" applyAlignment="1">
      <alignment horizontal="center" vertical="top"/>
    </xf>
    <xf numFmtId="0" fontId="15" fillId="0" borderId="19" xfId="0" quotePrefix="1" applyFont="1" applyBorder="1" applyAlignment="1">
      <alignment horizontal="center" vertical="center"/>
    </xf>
    <xf numFmtId="0" fontId="6" fillId="0" borderId="0" xfId="0" applyFont="1" applyAlignment="1">
      <alignment horizontal="center" vertical="center"/>
    </xf>
  </cellXfs>
  <cellStyles count="5">
    <cellStyle name="Comma" xfId="3" builtinId="3"/>
    <cellStyle name="Currency" xfId="4" builtinId="4"/>
    <cellStyle name="Normal" xfId="0" builtinId="0"/>
    <cellStyle name="Normal 2" xfId="1" xr:uid="{3F51050F-2C9F-6F43-AF22-C0D795454C90}"/>
    <cellStyle name="Percent" xfId="2" builtinId="5"/>
  </cellStyles>
  <dxfs count="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7"/>
  <colors>
    <mruColors>
      <color rgb="FFEBEBEB"/>
      <color rgb="FFEAEEF3"/>
      <color rgb="FFF7F9FB"/>
      <color rgb="FF00EAF0"/>
      <color rgb="FFF36B52"/>
      <color rgb="FFDAF0F3"/>
      <color rgb="FF03C2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ichStyles" Target="richData/rich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externalLink" Target="externalLinks/externalLink1.xml"/><Relationship Id="rId15" Type="http://schemas.microsoft.com/office/2017/06/relationships/rdRichValueTypes" Target="richData/rdRichValueTypes.xml"/><Relationship Id="rId10" Type="http://schemas.microsoft.com/office/2017/06/relationships/rdRichValue" Target="richData/rdrichvalue.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sk Assessment &amp; Control"/>
    </sheetNames>
    <sheetDataSet>
      <sheetData sheetId="0"/>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
  <rv s="0">
    <v>https://www.bing.com/financeapi/forcetrigger?t=bw9jmw&amp;q=XNAS%3aEVLV&amp;form=skydnc</v>
    <v>Learn more on Bing</v>
  </rv>
  <rv s="1">
    <v>en-US</v>
    <v>bw9jmw</v>
    <v>268435456</v>
    <v>1</v>
    <v>Powered by Refinitiv</v>
    <v>0</v>
    <v>EVOLV TECHNOLOGIES HOLDINGS, INC. (XNAS:EVLV)</v>
    <v>2</v>
    <v>3</v>
    <v>Finance</v>
    <v>4</v>
    <v>8.91</v>
    <v>4</v>
    <v>1.8176000000000001</v>
    <v>-0.12</v>
    <v>1.9691E-2</v>
    <v>-1.6597999999999998E-2</v>
    <v>0.14000000000000001</v>
    <v>USD</v>
    <v>Evolv Technologies Holdings, Inc. is a security technology company. The Company is developing artificial intelligence (AI)-based weapons detection to create safer experiences for venues and companies as well as schools, hospitals, and public spaces. Its solutions combine proprietary software and hardware, delivered as a long-term Security-as-a-Service (SaaS) subscription model and are designed to enhance security and improve the visitor experience. The Company offers two core solutions: Evolv Express and Evolv eXpedite, designed to efficiently screen high volumes of people and bags for concealed threats. Its flagship product, Evolv Express, uses advanced sensors, AI-powered software, and cloud services to not only consistently detect firearms, improvised explosives, and certain types of knives and distinguish them from many harmless items, such as cell phones and keys. In addition to screening capabilities, its solution includes Evolv Insights, a software analytics dashboard.</v>
    <v>286</v>
    <v>Nasdaq Stock Market</v>
    <v>XNAS</v>
    <v>XNAS</v>
    <v>500 Totten Pond Road, 4Th Floor, WALTHAM, MA, 02451 US</v>
    <v>7.4</v>
    <v>Communications &amp; Networking</v>
    <v>Stock</v>
    <v>46148.985772360938</v>
    <v>0</v>
    <v>7.1</v>
    <v>1277083269</v>
    <v>EVOLV TECHNOLOGIES HOLDINGS, INC.</v>
    <v>EVOLV TECHNOLOGIES HOLDINGS, INC.</v>
    <v>7.29</v>
    <v>0</v>
    <v>7.23</v>
    <v>7.11</v>
    <v>7.25</v>
    <v>179617900</v>
    <v>EVLV</v>
    <v>EVOLV TECHNOLOGIES HOLDINGS, INC. (XNAS:EVLV)</v>
    <v>2803510</v>
    <v>2325890</v>
    <v>2020</v>
  </rv>
  <rv s="2">
    <v>1</v>
  </rv>
  <rv s="1">
    <v>en-US</v>
    <v>bw9jmw</v>
    <v>268435456</v>
    <v>1</v>
    <v>Powered by Refinitiv</v>
    <v>0</v>
    <v>EVOLV TECHNOLOGIES HOLDINGS, INC. (XNAS:EVLV)</v>
    <v>2</v>
    <v>3</v>
    <v>Finance</v>
    <v>4</v>
    <v>8.91</v>
    <v>4.8650000000000002</v>
    <v>1.7842</v>
    <v>-0.13</v>
    <v>5.4650000000000002E-3</v>
    <v>-2.0407999999999999E-2</v>
    <v>3.4099999999999998E-2</v>
    <v>USD</v>
    <v>Evolv Technologies Holdings, Inc. is a security technology company. The Company is an artificial intelligence (AI)-powered screening solution designed to help create safer environments while maintaining visitor flow and a visitor experience. Its solutions are delivered through a Security-as-a-Service model that integrates its proprietary sensor platform and AI-powered software, cloud connectivity, and ongoing services. It delivers solutions through two sales models: a pure subscription model and a purchase subscription mode. Its products, Evolv Express and Evolv eXpedite, operate with proprietary software and cloud services. Evolv Express is designed to quickly detect firearms, improvised explosive devices, and large tactical knives in unstructured people flows. Evolv eXpedite, an autonomous AI-based weapons detection system for bags being brought to venues by visitors in cluttered environments. It serves customers across education, healthcare, sports, live entertainment, and others.</v>
    <v>286</v>
    <v>Nasdaq Stock Market</v>
    <v>XNAS</v>
    <v>XNAS</v>
    <v>500 Totten Pond Road, 4Th Floor, WALTHAM, MA, 02451 US</v>
    <v>6.4450000000000003</v>
    <v>Communications &amp; Networking</v>
    <v>Stock</v>
    <v>46205.971565034371</v>
    <v>0</v>
    <v>6.1950000000000003</v>
    <v>1122397536</v>
    <v>EVOLV TECHNOLOGIES HOLDINGS, INC.</v>
    <v>EVOLV TECHNOLOGIES HOLDINGS, INC.</v>
    <v>6.35</v>
    <v>0</v>
    <v>6.37</v>
    <v>6.24</v>
    <v>6.2740999999999998</v>
    <v>179871400</v>
    <v>EVLV</v>
    <v>EVOLV TECHNOLOGIES HOLDINGS, INC. (XNAS:EVLV)</v>
    <v>2489445</v>
    <v>2648230</v>
    <v>2020</v>
  </rv>
  <rv s="2">
    <v>3</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outlinePr summaryBelow="0"/>
    <pageSetUpPr fitToPage="1"/>
  </sheetPr>
  <dimension ref="A1:AI68"/>
  <sheetViews>
    <sheetView showGridLines="0" tabSelected="1" zoomScale="75" zoomScaleNormal="70" workbookViewId="0">
      <selection activeCell="G42" sqref="G42"/>
    </sheetView>
  </sheetViews>
  <sheetFormatPr defaultColWidth="8.85546875" defaultRowHeight="15"/>
  <cols>
    <col min="1" max="1" width="3" customWidth="1"/>
    <col min="2" max="2" width="58.85546875" customWidth="1"/>
    <col min="3" max="3" width="14.85546875" customWidth="1"/>
    <col min="4" max="4" width="16.85546875" bestFit="1" customWidth="1"/>
    <col min="5" max="5" width="20.28515625" customWidth="1"/>
    <col min="6" max="13" width="14.85546875" customWidth="1"/>
    <col min="14" max="14" width="3.28515625" customWidth="1"/>
  </cols>
  <sheetData>
    <row r="1" spans="2:13" s="7" customFormat="1" ht="42" customHeight="1">
      <c r="B1" s="8" t="s">
        <v>0</v>
      </c>
      <c r="F1" s="128"/>
    </row>
    <row r="2" spans="2:13" s="7" customFormat="1" thickBot="1">
      <c r="B2" s="25" t="s">
        <v>1</v>
      </c>
      <c r="C2" s="26" t="s">
        <v>2</v>
      </c>
      <c r="D2" s="26" t="s">
        <v>3</v>
      </c>
      <c r="E2" s="26" t="s">
        <v>4</v>
      </c>
      <c r="F2" s="26" t="s">
        <v>5</v>
      </c>
    </row>
    <row r="3" spans="2:13" s="7" customFormat="1" ht="42" customHeight="1" thickTop="1" thickBot="1">
      <c r="B3" s="23" t="str" cm="1">
        <f t="array" aca="1" ref="B3" ca="1">_FV(E3,"Name")</f>
        <v>EVOLV TECHNOLOGIES HOLDINGS, INC.</v>
      </c>
      <c r="C3" s="24">
        <v>2026</v>
      </c>
      <c r="D3" s="24" t="s">
        <v>6</v>
      </c>
      <c r="E3" s="24" t="e" vm="1">
        <v>#VALUE!</v>
      </c>
      <c r="F3" s="109" cm="1">
        <f t="array" aca="1" ref="F3" ca="1">_FV(E3,"Price")</f>
        <v>7.11</v>
      </c>
    </row>
    <row r="4" spans="2:13" ht="20.100000000000001" customHeight="1">
      <c r="B4" s="4" t="s">
        <v>7</v>
      </c>
      <c r="C4" s="5"/>
      <c r="D4" s="5"/>
      <c r="E4" s="5"/>
      <c r="F4" s="1"/>
    </row>
    <row r="5" spans="2:13" ht="21.95" thickBot="1">
      <c r="B5" s="14" t="s">
        <v>8</v>
      </c>
      <c r="C5" s="12"/>
      <c r="D5" s="12"/>
      <c r="E5" s="12"/>
      <c r="F5" s="12"/>
      <c r="G5" s="12"/>
      <c r="H5" s="12"/>
      <c r="I5" s="12"/>
      <c r="J5" s="12"/>
      <c r="K5" s="12"/>
      <c r="L5" s="12"/>
      <c r="M5" s="12"/>
    </row>
    <row r="6" spans="2:13" s="16" customFormat="1" ht="25.35" customHeight="1" thickTop="1" thickBot="1">
      <c r="B6" s="23" t="s">
        <v>9</v>
      </c>
      <c r="C6" s="21"/>
      <c r="D6" s="32">
        <f>C3</f>
        <v>2026</v>
      </c>
      <c r="E6" s="22">
        <f t="shared" ref="E6:M6" si="0">D6+1</f>
        <v>2027</v>
      </c>
      <c r="F6" s="22">
        <f t="shared" si="0"/>
        <v>2028</v>
      </c>
      <c r="G6" s="22">
        <f t="shared" si="0"/>
        <v>2029</v>
      </c>
      <c r="H6" s="22">
        <f t="shared" si="0"/>
        <v>2030</v>
      </c>
      <c r="I6" s="22">
        <f t="shared" si="0"/>
        <v>2031</v>
      </c>
      <c r="J6" s="22">
        <f t="shared" si="0"/>
        <v>2032</v>
      </c>
      <c r="K6" s="22">
        <f t="shared" si="0"/>
        <v>2033</v>
      </c>
      <c r="L6" s="22">
        <f t="shared" si="0"/>
        <v>2034</v>
      </c>
      <c r="M6" s="22">
        <f t="shared" si="0"/>
        <v>2035</v>
      </c>
    </row>
    <row r="7" spans="2:13" s="16" customFormat="1" ht="20.100000000000001" customHeight="1">
      <c r="B7" s="71" t="s">
        <v>10</v>
      </c>
      <c r="C7" s="72"/>
      <c r="D7" s="114">
        <v>0.4</v>
      </c>
      <c r="E7" s="115">
        <v>0.3</v>
      </c>
      <c r="F7" s="115">
        <v>0.2</v>
      </c>
      <c r="G7" s="115">
        <v>0.15</v>
      </c>
      <c r="H7" s="115">
        <v>0.1</v>
      </c>
      <c r="I7" s="115">
        <v>0.08</v>
      </c>
      <c r="J7" s="115">
        <v>0.05</v>
      </c>
      <c r="K7" s="115">
        <v>0.05</v>
      </c>
      <c r="L7" s="115">
        <v>0.03</v>
      </c>
      <c r="M7" s="115">
        <v>0.03</v>
      </c>
    </row>
    <row r="8" spans="2:13" s="16" customFormat="1" ht="20.100000000000001" customHeight="1">
      <c r="B8" s="73" t="s">
        <v>11</v>
      </c>
      <c r="C8" s="74"/>
      <c r="D8" s="19">
        <v>0.53</v>
      </c>
      <c r="E8" s="19">
        <v>0.55000000000000004</v>
      </c>
      <c r="F8" s="19">
        <v>0.56000000000000005</v>
      </c>
      <c r="G8" s="20">
        <v>0.56999999999999995</v>
      </c>
      <c r="H8" s="20">
        <v>0.57999999999999996</v>
      </c>
      <c r="I8" s="20">
        <v>0.59</v>
      </c>
      <c r="J8" s="20">
        <v>0.6</v>
      </c>
      <c r="K8" s="20">
        <v>0.6</v>
      </c>
      <c r="L8" s="20">
        <v>0.6</v>
      </c>
      <c r="M8" s="20">
        <v>0.6</v>
      </c>
    </row>
    <row r="9" spans="2:13" s="16" customFormat="1" ht="20.100000000000001" customHeight="1">
      <c r="B9" s="73" t="s">
        <v>12</v>
      </c>
      <c r="C9" s="74"/>
      <c r="D9" s="19">
        <v>0.6</v>
      </c>
      <c r="E9" s="19">
        <v>0.63</v>
      </c>
      <c r="F9" s="19">
        <v>0.47</v>
      </c>
      <c r="G9" s="19">
        <v>0.42</v>
      </c>
      <c r="H9" s="19">
        <v>0.38</v>
      </c>
      <c r="I9" s="19">
        <v>0.35</v>
      </c>
      <c r="J9" s="19">
        <v>0.32</v>
      </c>
      <c r="K9" s="19">
        <v>0.3</v>
      </c>
      <c r="L9" s="19">
        <v>0.28000000000000003</v>
      </c>
      <c r="M9" s="19">
        <v>0.27</v>
      </c>
    </row>
    <row r="10" spans="2:13" s="16" customFormat="1" ht="20.100000000000001" customHeight="1">
      <c r="B10" s="73" t="s">
        <v>13</v>
      </c>
      <c r="C10" s="74"/>
      <c r="D10" s="116">
        <v>0.16</v>
      </c>
      <c r="E10" s="116">
        <v>0.14000000000000001</v>
      </c>
      <c r="F10" s="116">
        <v>0.13</v>
      </c>
      <c r="G10" s="116">
        <v>0.12</v>
      </c>
      <c r="H10" s="116">
        <v>0.11</v>
      </c>
      <c r="I10" s="116">
        <v>0.1</v>
      </c>
      <c r="J10" s="116">
        <v>0.1</v>
      </c>
      <c r="K10" s="116">
        <v>0.09</v>
      </c>
      <c r="L10" s="116">
        <v>0.09</v>
      </c>
      <c r="M10" s="116">
        <v>0.09</v>
      </c>
    </row>
    <row r="11" spans="2:13" s="16" customFormat="1" ht="20.100000000000001" customHeight="1">
      <c r="B11" s="73" t="s">
        <v>14</v>
      </c>
      <c r="C11" s="74"/>
      <c r="D11" s="116">
        <v>0.1</v>
      </c>
      <c r="E11" s="116">
        <v>0.1</v>
      </c>
      <c r="F11" s="116">
        <v>0.08</v>
      </c>
      <c r="G11" s="116">
        <v>0.06</v>
      </c>
      <c r="H11" s="116">
        <v>0.05</v>
      </c>
      <c r="I11" s="116">
        <v>0.04</v>
      </c>
      <c r="J11" s="116">
        <v>0.03</v>
      </c>
      <c r="K11" s="116">
        <v>0.03</v>
      </c>
      <c r="L11" s="116">
        <v>0.03</v>
      </c>
      <c r="M11" s="116">
        <v>0.03</v>
      </c>
    </row>
    <row r="12" spans="2:13" s="16" customFormat="1" ht="20.100000000000001" customHeight="1">
      <c r="B12" s="73" t="s">
        <v>15</v>
      </c>
      <c r="C12" s="74"/>
      <c r="D12" s="116">
        <v>0.05</v>
      </c>
      <c r="E12" s="117">
        <v>0.08</v>
      </c>
      <c r="F12" s="117">
        <v>0.1</v>
      </c>
      <c r="G12" s="117">
        <v>0.12</v>
      </c>
      <c r="H12" s="117">
        <v>0.15</v>
      </c>
      <c r="I12" s="117">
        <v>0.15</v>
      </c>
      <c r="J12" s="117">
        <v>0.15</v>
      </c>
      <c r="K12" s="117">
        <v>0.15</v>
      </c>
      <c r="L12" s="117">
        <v>0.15</v>
      </c>
      <c r="M12" s="117">
        <v>0.15</v>
      </c>
    </row>
    <row r="13" spans="2:13" s="16" customFormat="1" ht="18" customHeight="1">
      <c r="B13" s="17"/>
      <c r="C13" s="18"/>
      <c r="D13" s="118"/>
      <c r="E13" s="118"/>
      <c r="F13" s="118"/>
      <c r="G13" s="118"/>
      <c r="H13" s="118"/>
      <c r="I13" s="118"/>
      <c r="J13" s="118"/>
      <c r="K13" s="118"/>
      <c r="L13" s="118"/>
      <c r="M13" s="118"/>
    </row>
    <row r="14" spans="2:13" s="16" customFormat="1" ht="20.100000000000001" customHeight="1">
      <c r="B14" s="75" t="s">
        <v>16</v>
      </c>
      <c r="C14" s="33">
        <v>0.21</v>
      </c>
      <c r="D14" s="118"/>
      <c r="E14" s="118"/>
      <c r="F14" s="118"/>
      <c r="G14" s="118"/>
      <c r="H14" s="118"/>
      <c r="I14" s="118"/>
      <c r="J14" s="118"/>
      <c r="K14" s="118"/>
      <c r="L14" s="118"/>
      <c r="M14" s="118"/>
    </row>
    <row r="15" spans="2:13" s="16" customFormat="1" ht="20.100000000000001" customHeight="1">
      <c r="B15" s="75" t="s">
        <v>17</v>
      </c>
      <c r="C15" s="119">
        <v>0.02</v>
      </c>
      <c r="D15" s="17" t="s">
        <v>18</v>
      </c>
      <c r="E15" s="120">
        <f>M6</f>
        <v>2035</v>
      </c>
      <c r="F15" s="118"/>
      <c r="G15" s="118"/>
      <c r="H15" s="118"/>
      <c r="I15" s="118"/>
      <c r="J15" s="118"/>
      <c r="K15" s="118"/>
      <c r="L15" s="118"/>
      <c r="M15" s="118"/>
    </row>
    <row r="16" spans="2:13" s="16" customFormat="1" ht="20.100000000000001" customHeight="1">
      <c r="B16" s="75" t="s">
        <v>19</v>
      </c>
      <c r="C16" s="35">
        <f>WACC!F9</f>
        <v>0.14070057402861466</v>
      </c>
      <c r="D16" s="18"/>
      <c r="E16" s="118"/>
      <c r="F16" s="118"/>
      <c r="G16" s="118"/>
      <c r="H16" s="118"/>
      <c r="I16" s="118"/>
      <c r="J16" s="118"/>
      <c r="K16" s="118"/>
      <c r="L16" s="118"/>
      <c r="M16" s="118"/>
    </row>
    <row r="17" spans="1:35">
      <c r="B17" s="11"/>
      <c r="C17" s="121"/>
      <c r="D17" s="12"/>
      <c r="E17" s="121"/>
      <c r="F17" s="121"/>
      <c r="G17" s="121"/>
      <c r="H17" s="121"/>
      <c r="I17" s="121"/>
      <c r="J17" s="121"/>
      <c r="K17" s="121"/>
      <c r="L17" s="121"/>
      <c r="M17" s="121"/>
    </row>
    <row r="18" spans="1:35" ht="21.95" thickBot="1">
      <c r="B18" s="14" t="s">
        <v>20</v>
      </c>
      <c r="C18" s="12"/>
      <c r="D18" s="12"/>
      <c r="E18" s="12"/>
      <c r="F18" s="12"/>
      <c r="G18" s="12"/>
      <c r="H18" s="12"/>
      <c r="I18" s="12"/>
      <c r="J18" s="12"/>
      <c r="K18" s="12"/>
      <c r="L18" s="12"/>
      <c r="M18" s="12"/>
    </row>
    <row r="19" spans="1:35" ht="25.35" customHeight="1" thickTop="1" thickBot="1">
      <c r="B19" s="23" t="s">
        <v>9</v>
      </c>
      <c r="C19" s="21"/>
      <c r="D19" s="29">
        <f t="shared" ref="D19:M19" si="1">D6</f>
        <v>2026</v>
      </c>
      <c r="E19" s="29">
        <f t="shared" si="1"/>
        <v>2027</v>
      </c>
      <c r="F19" s="29">
        <f t="shared" si="1"/>
        <v>2028</v>
      </c>
      <c r="G19" s="29">
        <f t="shared" si="1"/>
        <v>2029</v>
      </c>
      <c r="H19" s="29">
        <f t="shared" si="1"/>
        <v>2030</v>
      </c>
      <c r="I19" s="29">
        <f t="shared" si="1"/>
        <v>2031</v>
      </c>
      <c r="J19" s="29">
        <f t="shared" si="1"/>
        <v>2032</v>
      </c>
      <c r="K19" s="29">
        <f t="shared" si="1"/>
        <v>2033</v>
      </c>
      <c r="L19" s="29">
        <f t="shared" si="1"/>
        <v>2034</v>
      </c>
      <c r="M19" s="29">
        <f t="shared" si="1"/>
        <v>2035</v>
      </c>
    </row>
    <row r="20" spans="1:35" s="16" customFormat="1" ht="20.100000000000001" customHeight="1">
      <c r="B20" s="76" t="s">
        <v>21</v>
      </c>
      <c r="C20" s="77"/>
      <c r="D20" s="33">
        <f>IFERROR('DCF Model with Valuation'!D35/'DCF Model with Valuation'!D32,"")</f>
        <v>0.53000239882115074</v>
      </c>
      <c r="E20" s="34">
        <f>IFERROR('DCF Model with Valuation'!E35/'DCF Model with Valuation'!E32,"")</f>
        <v>0.55000073433300534</v>
      </c>
      <c r="F20" s="34">
        <f>IFERROR('DCF Model with Valuation'!F35/'DCF Model with Valuation'!F32,"")</f>
        <v>0.55999958827140905</v>
      </c>
      <c r="G20" s="34">
        <f>IFERROR('DCF Model with Valuation'!G35/'DCF Model with Valuation'!G32,"")</f>
        <v>0.56999904255637968</v>
      </c>
      <c r="H20" s="34">
        <f>IFERROR('DCF Model with Valuation'!H35/'DCF Model with Valuation'!H32,"")</f>
        <v>0.58000051866966473</v>
      </c>
      <c r="I20" s="34">
        <f>IFERROR('DCF Model with Valuation'!I35/'DCF Model with Valuation'!I32,"")</f>
        <v>0.58999977127714609</v>
      </c>
      <c r="J20" s="34">
        <f>IFERROR('DCF Model with Valuation'!J35/'DCF Model with Valuation'!J32,"")</f>
        <v>0.60000084399170017</v>
      </c>
      <c r="K20" s="34">
        <f>IFERROR('DCF Model with Valuation'!K35/'DCF Model with Valuation'!K32,"")</f>
        <v>0.59999938557257149</v>
      </c>
      <c r="L20" s="34">
        <f>IFERROR('DCF Model with Valuation'!L35/'DCF Model with Valuation'!L32,"")</f>
        <v>0.60000074083029165</v>
      </c>
      <c r="M20" s="34">
        <f>IFERROR('DCF Model with Valuation'!M35/'DCF Model with Valuation'!M32,"")</f>
        <v>0.59999964107036807</v>
      </c>
    </row>
    <row r="21" spans="1:35" s="16" customFormat="1" ht="20.100000000000001" customHeight="1">
      <c r="B21" s="78" t="s">
        <v>22</v>
      </c>
      <c r="C21" s="79"/>
      <c r="D21" s="35">
        <f>IFERROR('DCF Model with Valuation'!D46/'DCF Model with Valuation'!D32,"")</f>
        <v>-0.22999799282311875</v>
      </c>
      <c r="E21" s="36">
        <f>IFERROR('DCF Model with Valuation'!E46/'DCF Model with Valuation'!E32,"")</f>
        <v>-0.22000202600593249</v>
      </c>
      <c r="F21" s="36">
        <f>IFERROR('DCF Model with Valuation'!F46/'DCF Model with Valuation'!F32,"")</f>
        <v>-4.0000687888011768E-2</v>
      </c>
      <c r="G21" s="36">
        <f>IFERROR('DCF Model with Valuation'!G46/'DCF Model with Valuation'!G32,"")</f>
        <v>2.9998220954814268E-2</v>
      </c>
      <c r="H21" s="36">
        <f>IFERROR('DCF Model with Valuation'!H46/'DCF Model with Valuation'!H32,"")</f>
        <v>9.0001123784273496E-2</v>
      </c>
      <c r="I21" s="36">
        <f>IFERROR('DCF Model with Valuation'!I46/'DCF Model with Valuation'!I32,"")</f>
        <v>0.13999940819059295</v>
      </c>
      <c r="J21" s="36">
        <f>IFERROR('DCF Model with Valuation'!J46/'DCF Model with Valuation'!J32,"")</f>
        <v>0.18000019884290025</v>
      </c>
      <c r="K21" s="36">
        <f>IFERROR('DCF Model with Valuation'!K46/'DCF Model with Valuation'!K32,"")</f>
        <v>0.20999935945620074</v>
      </c>
      <c r="L21" s="36">
        <f>IFERROR('DCF Model with Valuation'!L46/'DCF Model with Valuation'!L32,"")</f>
        <v>0.23000122382103982</v>
      </c>
      <c r="M21" s="36">
        <f>IFERROR('DCF Model with Valuation'!M46/'DCF Model with Valuation'!M32,"")</f>
        <v>0.21517767515965544</v>
      </c>
    </row>
    <row r="22" spans="1:35" s="16" customFormat="1" ht="20.100000000000001" customHeight="1">
      <c r="B22" s="78" t="s">
        <v>23</v>
      </c>
      <c r="C22" s="79"/>
      <c r="D22" s="37">
        <f>'DCF Model with Valuation'!D51/1000000</f>
        <v>-1.5486199999999999E-2</v>
      </c>
      <c r="E22" s="38">
        <f>'DCF Model with Valuation'!E51/1000000</f>
        <v>-2.0858421999999963E-2</v>
      </c>
      <c r="F22" s="38">
        <f>'DCF Model with Valuation'!F51/1000000</f>
        <v>2.9111177600000017E-2</v>
      </c>
      <c r="G22" s="38">
        <f>'DCF Model with Valuation'!G51/1000000</f>
        <v>5.5532833896000028E-2</v>
      </c>
      <c r="H22" s="38">
        <f>'DCF Model with Valuation'!H51/1000000</f>
        <v>8.0687792232800065E-2</v>
      </c>
      <c r="I22" s="38">
        <f>'DCF Model with Valuation'!I51/1000000</f>
        <v>0.10367403183891211</v>
      </c>
      <c r="J22" s="38">
        <f>'DCF Model with Valuation'!J51/1000000</f>
        <v>0.12544196542593153</v>
      </c>
      <c r="K22" s="38">
        <f>'DCF Model with Valuation'!K51/1000000</f>
        <v>0.14142853595945712</v>
      </c>
      <c r="L22" s="38">
        <f>'DCF Model with Valuation'!L51/1000000</f>
        <v>0.15418847414472525</v>
      </c>
      <c r="M22" s="38">
        <f>'DCF Model with Valuation'!M51/1000000</f>
        <v>0.15126600000000001</v>
      </c>
    </row>
    <row r="23" spans="1:35" s="16" customFormat="1" ht="20.100000000000001" customHeight="1" thickBot="1">
      <c r="B23" s="95" t="s">
        <v>24</v>
      </c>
      <c r="C23" s="96"/>
      <c r="D23" s="97"/>
      <c r="E23" s="98"/>
      <c r="F23" s="98"/>
      <c r="G23" s="98"/>
      <c r="H23" s="98"/>
      <c r="I23" s="98"/>
      <c r="J23" s="98"/>
      <c r="K23" s="98"/>
      <c r="L23" s="98"/>
      <c r="M23" s="39">
        <f>'DCF Model with Valuation'!M53/1000000</f>
        <v>1.2782979999999999</v>
      </c>
    </row>
    <row r="24" spans="1:35" s="16" customFormat="1" ht="11.1" customHeight="1">
      <c r="B24" s="30"/>
      <c r="C24" s="6"/>
      <c r="D24" s="6"/>
      <c r="E24" s="6"/>
      <c r="F24" s="6"/>
      <c r="G24" s="6"/>
      <c r="H24" s="6"/>
      <c r="I24" s="6"/>
      <c r="J24" s="6"/>
      <c r="K24" s="6"/>
      <c r="L24" s="6"/>
      <c r="M24" s="27"/>
    </row>
    <row r="25" spans="1:35" s="16" customFormat="1" ht="20.100000000000001" customHeight="1" thickBot="1">
      <c r="B25" s="40" t="s">
        <v>25</v>
      </c>
      <c r="C25" s="41"/>
      <c r="D25" s="92">
        <f>'DCF Model with Valuation'!C57/1000000</f>
        <v>0.64130200000000004</v>
      </c>
      <c r="E25" s="6"/>
      <c r="F25" s="6"/>
      <c r="G25" s="6"/>
      <c r="H25" s="6"/>
      <c r="I25" s="6"/>
      <c r="J25" s="6"/>
      <c r="K25" s="6"/>
      <c r="L25" s="6"/>
      <c r="M25" s="6"/>
    </row>
    <row r="26" spans="1:35" s="16" customFormat="1" ht="11.1" customHeight="1">
      <c r="B26" s="31"/>
      <c r="C26" s="15"/>
      <c r="D26" s="28"/>
      <c r="E26" s="6"/>
      <c r="F26" s="6"/>
      <c r="G26" s="6"/>
      <c r="H26" s="6"/>
      <c r="I26" s="6"/>
      <c r="J26" s="6"/>
      <c r="K26" s="6"/>
      <c r="L26" s="6"/>
      <c r="M26" s="6"/>
    </row>
    <row r="27" spans="1:35" s="16" customFormat="1" ht="20.100000000000001" customHeight="1" thickBot="1">
      <c r="B27" s="40" t="s">
        <v>26</v>
      </c>
      <c r="C27" s="41"/>
      <c r="D27" s="93">
        <f>'DCF Model with Valuation'!C63/1000000</f>
        <v>0.69822399999999996</v>
      </c>
      <c r="E27" s="6"/>
      <c r="F27" s="6"/>
      <c r="G27" s="6"/>
      <c r="H27" s="6"/>
      <c r="I27" s="6"/>
      <c r="J27" s="6"/>
      <c r="K27" s="6"/>
      <c r="L27" s="6"/>
      <c r="M27" s="6"/>
    </row>
    <row r="28" spans="1:35" ht="15.95" thickBot="1">
      <c r="B28" s="2"/>
      <c r="C28" s="2"/>
      <c r="D28" s="2"/>
      <c r="E28" s="2"/>
      <c r="F28" s="2"/>
      <c r="G28" s="2"/>
      <c r="H28" s="2"/>
      <c r="I28" s="2"/>
      <c r="J28" s="2"/>
      <c r="K28" s="2"/>
      <c r="L28" s="2"/>
      <c r="M28" s="2"/>
    </row>
    <row r="29" spans="1:35" ht="25.35" customHeight="1" thickTop="1">
      <c r="B29" s="2"/>
      <c r="C29" s="42" t="s">
        <v>27</v>
      </c>
      <c r="D29" s="43" t="s">
        <v>28</v>
      </c>
      <c r="E29" s="44"/>
      <c r="F29" s="44"/>
      <c r="G29" s="44"/>
      <c r="H29" s="44"/>
      <c r="I29" s="44"/>
      <c r="J29" s="44"/>
      <c r="K29" s="44"/>
      <c r="L29" s="44"/>
      <c r="M29" s="45"/>
    </row>
    <row r="30" spans="1:35" ht="20.100000000000001" customHeight="1" thickBot="1">
      <c r="A30" s="9"/>
      <c r="B30" s="2"/>
      <c r="C30" s="46">
        <f>D6-1</f>
        <v>2025</v>
      </c>
      <c r="D30" s="47">
        <f t="shared" ref="D30:M30" si="2">C30+1</f>
        <v>2026</v>
      </c>
      <c r="E30" s="47">
        <f t="shared" si="2"/>
        <v>2027</v>
      </c>
      <c r="F30" s="47">
        <f t="shared" si="2"/>
        <v>2028</v>
      </c>
      <c r="G30" s="47">
        <f t="shared" si="2"/>
        <v>2029</v>
      </c>
      <c r="H30" s="47">
        <f t="shared" si="2"/>
        <v>2030</v>
      </c>
      <c r="I30" s="47">
        <f t="shared" si="2"/>
        <v>2031</v>
      </c>
      <c r="J30" s="47">
        <f t="shared" si="2"/>
        <v>2032</v>
      </c>
      <c r="K30" s="47">
        <f t="shared" si="2"/>
        <v>2033</v>
      </c>
      <c r="L30" s="47">
        <f t="shared" si="2"/>
        <v>2034</v>
      </c>
      <c r="M30" s="47">
        <f t="shared" si="2"/>
        <v>2035</v>
      </c>
      <c r="N30" s="9"/>
      <c r="O30" s="9"/>
      <c r="P30" s="9"/>
      <c r="Q30" s="9"/>
      <c r="R30" s="9"/>
      <c r="S30" s="9"/>
      <c r="T30" s="9"/>
      <c r="U30" s="9"/>
      <c r="V30" s="9"/>
      <c r="W30" s="9"/>
      <c r="X30" s="9"/>
      <c r="Y30" s="9"/>
      <c r="Z30" s="9"/>
      <c r="AA30" s="9"/>
      <c r="AB30" s="9"/>
      <c r="AC30" s="9"/>
      <c r="AD30" s="9"/>
      <c r="AE30" s="9"/>
      <c r="AF30" s="9"/>
      <c r="AG30" s="9"/>
      <c r="AH30" s="9"/>
      <c r="AI30" s="9"/>
    </row>
    <row r="31" spans="1:35" ht="11.1" customHeight="1">
      <c r="B31" s="2"/>
      <c r="C31" s="2"/>
      <c r="D31" s="2"/>
      <c r="E31" s="2"/>
      <c r="F31" s="2"/>
      <c r="G31" s="2"/>
      <c r="H31" s="2"/>
      <c r="I31" s="2"/>
      <c r="J31" s="2"/>
      <c r="K31" s="2"/>
      <c r="L31" s="2"/>
      <c r="M31" s="2"/>
    </row>
    <row r="32" spans="1:35" s="16" customFormat="1" ht="20.100000000000001" customHeight="1">
      <c r="B32" s="82" t="s">
        <v>29</v>
      </c>
      <c r="C32" s="50">
        <v>145905</v>
      </c>
      <c r="D32" s="54">
        <f>C32*(1+'DCF Model with Valuation'!D7)</f>
        <v>204267</v>
      </c>
      <c r="E32" s="54">
        <f>D32*(1+'DCF Model with Valuation'!E7)</f>
        <v>265547.10000000003</v>
      </c>
      <c r="F32" s="54">
        <f>E32*(1+'DCF Model with Valuation'!F7)</f>
        <v>318656.52</v>
      </c>
      <c r="G32" s="54">
        <f>F32*(1+'DCF Model with Valuation'!G7)</f>
        <v>366454.99800000002</v>
      </c>
      <c r="H32" s="54">
        <f>G32*(1+'DCF Model with Valuation'!H7)</f>
        <v>403100.49780000007</v>
      </c>
      <c r="I32" s="54">
        <f>H32*(1+'DCF Model with Valuation'!I7)</f>
        <v>435348.53762400011</v>
      </c>
      <c r="J32" s="54">
        <f>I32*(1+'DCF Model with Valuation'!J7)</f>
        <v>457115.96450520016</v>
      </c>
      <c r="K32" s="54">
        <f>J32*(1+'DCF Model with Valuation'!K7)</f>
        <v>479971.76273046021</v>
      </c>
      <c r="L32" s="54">
        <f>K32*(1+'DCF Model with Valuation'!L7)</f>
        <v>494370.91561237402</v>
      </c>
      <c r="M32" s="54">
        <f>L32*(1+'DCF Model with Valuation'!M7)</f>
        <v>509202.04308074526</v>
      </c>
    </row>
    <row r="33" spans="1:23" ht="11.1" customHeight="1">
      <c r="B33" s="63"/>
      <c r="C33" s="122"/>
      <c r="D33" s="122"/>
      <c r="E33" s="122"/>
      <c r="F33" s="122"/>
      <c r="G33" s="122"/>
      <c r="H33" s="122"/>
      <c r="I33" s="122"/>
      <c r="J33" s="122"/>
      <c r="K33" s="122"/>
      <c r="L33" s="122"/>
      <c r="M33" s="122"/>
    </row>
    <row r="34" spans="1:23" s="16" customFormat="1" ht="20.100000000000001" customHeight="1">
      <c r="B34" s="83" t="s">
        <v>30</v>
      </c>
      <c r="C34" s="85">
        <v>70603</v>
      </c>
      <c r="D34" s="57">
        <f>ROUND((D32*(1-'DCF Model with Valuation'!D8)),0)</f>
        <v>96005</v>
      </c>
      <c r="E34" s="57">
        <f>ROUND((E32*(1-'DCF Model with Valuation'!E8)),0)</f>
        <v>119496</v>
      </c>
      <c r="F34" s="57">
        <f>ROUND((F32*(1-'DCF Model with Valuation'!F8)),0)</f>
        <v>140209</v>
      </c>
      <c r="G34" s="57">
        <f>ROUND((G32*(1-'DCF Model with Valuation'!G8)),0)</f>
        <v>157576</v>
      </c>
      <c r="H34" s="57">
        <f>ROUND((H32*(1-'DCF Model with Valuation'!H8)),0)</f>
        <v>169302</v>
      </c>
      <c r="I34" s="57">
        <f>ROUND((I32*(1-'DCF Model with Valuation'!I8)),0)</f>
        <v>178493</v>
      </c>
      <c r="J34" s="57">
        <f>ROUND((J32*(1-'DCF Model with Valuation'!J8)),0)</f>
        <v>182846</v>
      </c>
      <c r="K34" s="57">
        <f>ROUND((K32*(1-'DCF Model with Valuation'!K8)),0)</f>
        <v>191989</v>
      </c>
      <c r="L34" s="57">
        <f>ROUND((L32*(1-'DCF Model with Valuation'!L8)),0)</f>
        <v>197748</v>
      </c>
      <c r="M34" s="57">
        <f>ROUND((M32*(1-'DCF Model with Valuation'!M8)),0)</f>
        <v>203681</v>
      </c>
    </row>
    <row r="35" spans="1:23" s="16" customFormat="1" ht="20.100000000000001" customHeight="1">
      <c r="B35" s="84" t="s">
        <v>31</v>
      </c>
      <c r="C35" s="55">
        <v>75302</v>
      </c>
      <c r="D35" s="58">
        <f t="shared" ref="D35:M35" si="3">D32-D34</f>
        <v>108262</v>
      </c>
      <c r="E35" s="58">
        <f t="shared" si="3"/>
        <v>146051.10000000003</v>
      </c>
      <c r="F35" s="58">
        <f t="shared" si="3"/>
        <v>178447.52000000002</v>
      </c>
      <c r="G35" s="58">
        <f t="shared" si="3"/>
        <v>208878.99800000002</v>
      </c>
      <c r="H35" s="58">
        <f t="shared" si="3"/>
        <v>233798.49780000007</v>
      </c>
      <c r="I35" s="58">
        <f t="shared" si="3"/>
        <v>256855.53762400011</v>
      </c>
      <c r="J35" s="58">
        <f t="shared" si="3"/>
        <v>274269.96450520016</v>
      </c>
      <c r="K35" s="58">
        <f t="shared" si="3"/>
        <v>287982.76273046021</v>
      </c>
      <c r="L35" s="58">
        <f t="shared" si="3"/>
        <v>296622.91561237402</v>
      </c>
      <c r="M35" s="58">
        <f t="shared" si="3"/>
        <v>305521.04308074526</v>
      </c>
    </row>
    <row r="36" spans="1:23" ht="11.1" customHeight="1">
      <c r="B36" s="64"/>
      <c r="C36" s="2"/>
      <c r="D36" s="2"/>
      <c r="E36" s="2"/>
      <c r="F36" s="2"/>
      <c r="G36" s="2"/>
      <c r="H36" s="2"/>
      <c r="I36" s="2"/>
      <c r="J36" s="2"/>
      <c r="K36" s="2"/>
      <c r="L36" s="2"/>
      <c r="M36" s="2"/>
    </row>
    <row r="37" spans="1:23" s="16" customFormat="1" ht="20.100000000000001" customHeight="1">
      <c r="B37" s="86" t="s">
        <v>32</v>
      </c>
      <c r="C37" s="51">
        <f>185897+160635+59796-6491</f>
        <v>399837</v>
      </c>
      <c r="D37" s="57">
        <f>ROUND((D32*'DCF Model with Valuation'!D9),0)</f>
        <v>122560</v>
      </c>
      <c r="E37" s="57">
        <f>ROUND((E32*'DCF Model with Valuation'!E9),0)</f>
        <v>167295</v>
      </c>
      <c r="F37" s="57">
        <f>ROUND((F32*'DCF Model with Valuation'!F9),0)</f>
        <v>149769</v>
      </c>
      <c r="G37" s="57">
        <f>ROUND((G32*'DCF Model with Valuation'!G9),0)</f>
        <v>153911</v>
      </c>
      <c r="H37" s="57">
        <f>ROUND((H32*'DCF Model with Valuation'!H9),0)</f>
        <v>153178</v>
      </c>
      <c r="I37" s="57">
        <f>ROUND((I32*'DCF Model with Valuation'!I9),0)</f>
        <v>152372</v>
      </c>
      <c r="J37" s="57">
        <f>ROUND((J32*'DCF Model with Valuation'!J9),0)</f>
        <v>146277</v>
      </c>
      <c r="K37" s="57">
        <f>ROUND((K32*'DCF Model with Valuation'!K9),0)</f>
        <v>143992</v>
      </c>
      <c r="L37" s="57">
        <f>ROUND((L32*'DCF Model with Valuation'!L9),0)</f>
        <v>138424</v>
      </c>
      <c r="M37" s="57">
        <f>ROUND((M32*'DCF Model with Valuation'!M9),0)</f>
        <v>137485</v>
      </c>
    </row>
    <row r="38" spans="1:23" s="16" customFormat="1" ht="20.100000000000001" customHeight="1">
      <c r="B38" s="84" t="s">
        <v>33</v>
      </c>
      <c r="C38" s="87">
        <f t="shared" ref="C38:M38" si="4">C35-C37</f>
        <v>-324535</v>
      </c>
      <c r="D38" s="58">
        <f t="shared" si="4"/>
        <v>-14298</v>
      </c>
      <c r="E38" s="58">
        <f t="shared" si="4"/>
        <v>-21243.899999999965</v>
      </c>
      <c r="F38" s="58">
        <f t="shared" si="4"/>
        <v>28678.520000000019</v>
      </c>
      <c r="G38" s="58">
        <f t="shared" si="4"/>
        <v>54967.998000000021</v>
      </c>
      <c r="H38" s="58">
        <f t="shared" si="4"/>
        <v>80620.49780000007</v>
      </c>
      <c r="I38" s="58">
        <f t="shared" si="4"/>
        <v>104483.53762400011</v>
      </c>
      <c r="J38" s="58">
        <f t="shared" si="4"/>
        <v>127992.96450520016</v>
      </c>
      <c r="K38" s="58">
        <f t="shared" si="4"/>
        <v>143990.76273046021</v>
      </c>
      <c r="L38" s="58">
        <f t="shared" si="4"/>
        <v>158198.91561237402</v>
      </c>
      <c r="M38" s="58">
        <f t="shared" si="4"/>
        <v>168036.04308074526</v>
      </c>
    </row>
    <row r="39" spans="1:23" ht="11.1" customHeight="1">
      <c r="B39" s="64"/>
      <c r="C39" s="122"/>
      <c r="D39" s="122"/>
      <c r="E39" s="122"/>
      <c r="F39" s="122"/>
      <c r="G39" s="122"/>
      <c r="H39" s="122"/>
      <c r="I39" s="122"/>
      <c r="J39" s="122"/>
      <c r="K39" s="122"/>
      <c r="L39" s="122"/>
      <c r="M39" s="122"/>
    </row>
    <row r="40" spans="1:23" s="16" customFormat="1" ht="20.100000000000001" customHeight="1">
      <c r="B40" s="83" t="s">
        <v>34</v>
      </c>
      <c r="C40" s="51">
        <v>24340</v>
      </c>
      <c r="D40" s="57">
        <f>ROUND((D32*'DCF Model with Valuation'!D10),0)</f>
        <v>32683</v>
      </c>
      <c r="E40" s="57">
        <f>ROUND((E32*'DCF Model with Valuation'!E10),0)</f>
        <v>37177</v>
      </c>
      <c r="F40" s="57">
        <f>ROUND((F32*'DCF Model with Valuation'!F10),0)</f>
        <v>41425</v>
      </c>
      <c r="G40" s="57">
        <f>ROUND((G32*'DCF Model with Valuation'!G10),0)</f>
        <v>43975</v>
      </c>
      <c r="H40" s="57">
        <f>ROUND((H32*'DCF Model with Valuation'!H10),0)</f>
        <v>44341</v>
      </c>
      <c r="I40" s="57">
        <f>ROUND((I32*'DCF Model with Valuation'!I10),0)</f>
        <v>43535</v>
      </c>
      <c r="J40" s="57">
        <f>ROUND((J32*'DCF Model with Valuation'!J10),0)</f>
        <v>45712</v>
      </c>
      <c r="K40" s="57">
        <f>ROUND((K32*'DCF Model with Valuation'!K10),0)</f>
        <v>43197</v>
      </c>
      <c r="L40" s="57">
        <f>ROUND((L32*'DCF Model with Valuation'!L10),0)</f>
        <v>44493</v>
      </c>
      <c r="M40" s="57">
        <f>ROUND((M32*'DCF Model with Valuation'!M10),0)</f>
        <v>45828</v>
      </c>
    </row>
    <row r="41" spans="1:23" s="16" customFormat="1" ht="20.100000000000001" customHeight="1">
      <c r="B41" s="84" t="s">
        <v>35</v>
      </c>
      <c r="C41" s="87">
        <f t="shared" ref="C41:M41" si="5">C38-C40</f>
        <v>-348875</v>
      </c>
      <c r="D41" s="58">
        <f t="shared" si="5"/>
        <v>-46981</v>
      </c>
      <c r="E41" s="58">
        <f t="shared" si="5"/>
        <v>-58420.899999999965</v>
      </c>
      <c r="F41" s="58">
        <f t="shared" si="5"/>
        <v>-12746.479999999981</v>
      </c>
      <c r="G41" s="58">
        <f t="shared" si="5"/>
        <v>10992.998000000021</v>
      </c>
      <c r="H41" s="58">
        <f t="shared" si="5"/>
        <v>36279.49780000007</v>
      </c>
      <c r="I41" s="58">
        <f t="shared" si="5"/>
        <v>60948.537624000106</v>
      </c>
      <c r="J41" s="58">
        <f t="shared" si="5"/>
        <v>82280.964505200158</v>
      </c>
      <c r="K41" s="58">
        <f t="shared" si="5"/>
        <v>100793.76273046021</v>
      </c>
      <c r="L41" s="58">
        <f t="shared" si="5"/>
        <v>113705.91561237402</v>
      </c>
      <c r="M41" s="58">
        <f t="shared" si="5"/>
        <v>122208.04308074526</v>
      </c>
    </row>
    <row r="42" spans="1:23" s="16" customFormat="1" ht="20.100000000000001" customHeight="1">
      <c r="B42" s="88" t="s">
        <v>36</v>
      </c>
      <c r="C42" s="80">
        <v>0</v>
      </c>
      <c r="D42" s="59">
        <f>IF(C42+C41&lt;0,C42+C41,0)</f>
        <v>-348875</v>
      </c>
      <c r="E42" s="59">
        <f t="shared" ref="E42:M42" si="6">IF(D42+D41&lt;0,D42+D41,0)</f>
        <v>-395856</v>
      </c>
      <c r="F42" s="59">
        <f t="shared" si="6"/>
        <v>-454276.89999999997</v>
      </c>
      <c r="G42" s="59">
        <f t="shared" si="6"/>
        <v>-467023.37999999995</v>
      </c>
      <c r="H42" s="59">
        <f t="shared" si="6"/>
        <v>-456030.38199999993</v>
      </c>
      <c r="I42" s="59">
        <f t="shared" si="6"/>
        <v>-419750.88419999985</v>
      </c>
      <c r="J42" s="59">
        <f t="shared" si="6"/>
        <v>-358802.34657599975</v>
      </c>
      <c r="K42" s="59">
        <f t="shared" si="6"/>
        <v>-276521.38207079959</v>
      </c>
      <c r="L42" s="59">
        <f t="shared" si="6"/>
        <v>-175727.61934033938</v>
      </c>
      <c r="M42" s="59">
        <f t="shared" si="6"/>
        <v>-62021.70372796536</v>
      </c>
      <c r="O42" s="52"/>
      <c r="P42" s="52"/>
      <c r="Q42" s="52"/>
      <c r="R42" s="52"/>
      <c r="S42" s="52"/>
      <c r="T42" s="52"/>
      <c r="U42" s="52"/>
      <c r="V42" s="52"/>
      <c r="W42" s="52"/>
    </row>
    <row r="43" spans="1:23" s="16" customFormat="1" ht="20.100000000000001" customHeight="1">
      <c r="B43" s="88" t="s">
        <v>37</v>
      </c>
      <c r="C43" s="89">
        <f t="shared" ref="C43:M43" si="7">IF(SUM(C41:C42)&lt;0,0,SUM(C41:C42))</f>
        <v>0</v>
      </c>
      <c r="D43" s="59">
        <f t="shared" si="7"/>
        <v>0</v>
      </c>
      <c r="E43" s="59">
        <f t="shared" si="7"/>
        <v>0</v>
      </c>
      <c r="F43" s="59">
        <f t="shared" si="7"/>
        <v>0</v>
      </c>
      <c r="G43" s="59">
        <f t="shared" si="7"/>
        <v>0</v>
      </c>
      <c r="H43" s="59">
        <f t="shared" si="7"/>
        <v>0</v>
      </c>
      <c r="I43" s="59">
        <f t="shared" si="7"/>
        <v>0</v>
      </c>
      <c r="J43" s="59">
        <f t="shared" si="7"/>
        <v>0</v>
      </c>
      <c r="K43" s="59">
        <f t="shared" si="7"/>
        <v>0</v>
      </c>
      <c r="L43" s="59">
        <f t="shared" si="7"/>
        <v>0</v>
      </c>
      <c r="M43" s="59">
        <f t="shared" si="7"/>
        <v>60186.339352779905</v>
      </c>
      <c r="O43" s="52"/>
      <c r="P43" s="113"/>
      <c r="Q43" s="52"/>
      <c r="R43" s="52"/>
      <c r="S43" s="52"/>
      <c r="T43" s="52"/>
      <c r="U43" s="52"/>
      <c r="V43" s="52"/>
      <c r="W43" s="52"/>
    </row>
    <row r="44" spans="1:23" s="16" customFormat="1" ht="11.1" customHeight="1">
      <c r="A44" s="52"/>
      <c r="B44" s="65"/>
      <c r="C44" s="56"/>
      <c r="D44" s="56"/>
      <c r="E44" s="56"/>
      <c r="F44" s="56"/>
      <c r="G44" s="56"/>
      <c r="H44" s="56"/>
      <c r="I44" s="56"/>
      <c r="J44" s="56"/>
      <c r="K44" s="56"/>
      <c r="L44" s="56"/>
      <c r="M44" s="56"/>
      <c r="N44" s="52"/>
      <c r="O44" s="52"/>
      <c r="P44" s="52"/>
      <c r="Q44" s="52"/>
      <c r="R44" s="52"/>
      <c r="S44" s="52"/>
      <c r="T44" s="52"/>
      <c r="U44" s="52"/>
      <c r="V44" s="52"/>
      <c r="W44" s="52"/>
    </row>
    <row r="45" spans="1:23" s="16" customFormat="1" ht="20.100000000000001" customHeight="1">
      <c r="B45" s="83" t="s">
        <v>38</v>
      </c>
      <c r="C45" s="85">
        <v>299222</v>
      </c>
      <c r="D45" s="57">
        <f>D43*'DCF Model with Valuation'!$C$14</f>
        <v>0</v>
      </c>
      <c r="E45" s="57">
        <f>E43*'DCF Model with Valuation'!$C$14</f>
        <v>0</v>
      </c>
      <c r="F45" s="57">
        <f>F43*'DCF Model with Valuation'!$C$14</f>
        <v>0</v>
      </c>
      <c r="G45" s="57">
        <f>G43*'DCF Model with Valuation'!$C$14</f>
        <v>0</v>
      </c>
      <c r="H45" s="57">
        <f>H43*'DCF Model with Valuation'!$C$14</f>
        <v>0</v>
      </c>
      <c r="I45" s="57">
        <f>I43*'DCF Model with Valuation'!$C$14</f>
        <v>0</v>
      </c>
      <c r="J45" s="57">
        <f>J43*'DCF Model with Valuation'!$C$14</f>
        <v>0</v>
      </c>
      <c r="K45" s="57">
        <f>K43*'DCF Model with Valuation'!$C$14</f>
        <v>0</v>
      </c>
      <c r="L45" s="57">
        <f>L43*'DCF Model with Valuation'!$C$14</f>
        <v>0</v>
      </c>
      <c r="M45" s="57">
        <f>M43*'DCF Model with Valuation'!$C$14</f>
        <v>12639.13126408378</v>
      </c>
    </row>
    <row r="46" spans="1:23" s="16" customFormat="1" ht="20.100000000000001" customHeight="1">
      <c r="B46" s="84" t="s">
        <v>39</v>
      </c>
      <c r="C46" s="90">
        <f t="shared" ref="C46:M46" si="8">C41-C45</f>
        <v>-648097</v>
      </c>
      <c r="D46" s="58">
        <f t="shared" si="8"/>
        <v>-46981</v>
      </c>
      <c r="E46" s="58">
        <f t="shared" si="8"/>
        <v>-58420.899999999965</v>
      </c>
      <c r="F46" s="58">
        <f t="shared" si="8"/>
        <v>-12746.479999999981</v>
      </c>
      <c r="G46" s="58">
        <f t="shared" si="8"/>
        <v>10992.998000000021</v>
      </c>
      <c r="H46" s="58">
        <f t="shared" si="8"/>
        <v>36279.49780000007</v>
      </c>
      <c r="I46" s="58">
        <f t="shared" si="8"/>
        <v>60948.537624000106</v>
      </c>
      <c r="J46" s="58">
        <f t="shared" si="8"/>
        <v>82280.964505200158</v>
      </c>
      <c r="K46" s="58">
        <f t="shared" si="8"/>
        <v>100793.76273046021</v>
      </c>
      <c r="L46" s="58">
        <f t="shared" si="8"/>
        <v>113705.91561237402</v>
      </c>
      <c r="M46" s="58">
        <f t="shared" si="8"/>
        <v>109568.91181666148</v>
      </c>
    </row>
    <row r="47" spans="1:23" ht="11.1" customHeight="1">
      <c r="B47" s="64"/>
      <c r="C47" s="2"/>
      <c r="D47" s="2"/>
      <c r="E47" s="2"/>
      <c r="F47" s="2"/>
      <c r="G47" s="2"/>
      <c r="H47" s="2"/>
      <c r="I47" s="2"/>
      <c r="J47" s="2"/>
      <c r="K47" s="2"/>
      <c r="L47" s="2"/>
      <c r="M47" s="2"/>
    </row>
    <row r="48" spans="1:23" s="16" customFormat="1" ht="20.100000000000001" customHeight="1">
      <c r="B48" s="83" t="s">
        <v>40</v>
      </c>
      <c r="C48" s="85">
        <f t="shared" ref="C48:M48" si="9">C40</f>
        <v>24340</v>
      </c>
      <c r="D48" s="57">
        <f t="shared" si="9"/>
        <v>32683</v>
      </c>
      <c r="E48" s="57">
        <f t="shared" si="9"/>
        <v>37177</v>
      </c>
      <c r="F48" s="57">
        <f t="shared" si="9"/>
        <v>41425</v>
      </c>
      <c r="G48" s="57">
        <f t="shared" si="9"/>
        <v>43975</v>
      </c>
      <c r="H48" s="57">
        <f t="shared" si="9"/>
        <v>44341</v>
      </c>
      <c r="I48" s="57">
        <f t="shared" si="9"/>
        <v>43535</v>
      </c>
      <c r="J48" s="57">
        <f t="shared" si="9"/>
        <v>45712</v>
      </c>
      <c r="K48" s="57">
        <f t="shared" si="9"/>
        <v>43197</v>
      </c>
      <c r="L48" s="57">
        <f t="shared" si="9"/>
        <v>44493</v>
      </c>
      <c r="M48" s="57">
        <f t="shared" si="9"/>
        <v>45828</v>
      </c>
    </row>
    <row r="49" spans="1:14" s="16" customFormat="1" ht="20.100000000000001" customHeight="1">
      <c r="B49" s="86" t="s">
        <v>41</v>
      </c>
      <c r="C49" s="81">
        <v>-3733</v>
      </c>
      <c r="D49" s="57">
        <f>C49*(1+'DCF Model with Valuation'!D11)</f>
        <v>-4106.3</v>
      </c>
      <c r="E49" s="57">
        <f>D49*(1+'DCF Model with Valuation'!E11)</f>
        <v>-4516.93</v>
      </c>
      <c r="F49" s="57">
        <f>E49*(1+'DCF Model with Valuation'!F11)</f>
        <v>-4878.2844000000005</v>
      </c>
      <c r="G49" s="57">
        <f>F49*(1+'DCF Model with Valuation'!G11)</f>
        <v>-5170.9814640000004</v>
      </c>
      <c r="H49" s="57">
        <f>G49*(1+'DCF Model with Valuation'!H11)</f>
        <v>-5429.5305372000003</v>
      </c>
      <c r="I49" s="57">
        <f>H49*(1+'DCF Model with Valuation'!I11)</f>
        <v>-5646.7117586880004</v>
      </c>
      <c r="J49" s="57">
        <f>I49*(1+'DCF Model with Valuation'!J11)</f>
        <v>-5816.1131114486407</v>
      </c>
      <c r="K49" s="57">
        <f>J49*(1+'DCF Model with Valuation'!K11)</f>
        <v>-5990.5965047920999</v>
      </c>
      <c r="L49" s="57">
        <f>K49*(1+'DCF Model with Valuation'!L11)</f>
        <v>-6170.3143999358635</v>
      </c>
      <c r="M49" s="57">
        <f>L49*(1+'DCF Model with Valuation'!M11)</f>
        <v>-6355.4238319339393</v>
      </c>
    </row>
    <row r="50" spans="1:14" s="16" customFormat="1" ht="20.100000000000001" customHeight="1">
      <c r="B50" s="86" t="s">
        <v>42</v>
      </c>
      <c r="C50" s="60"/>
      <c r="D50" s="57">
        <f>(D32-C32)*'DCF Model with Valuation'!D12</f>
        <v>2918.1000000000004</v>
      </c>
      <c r="E50" s="57">
        <f>(E32-D32)*'DCF Model with Valuation'!E12</f>
        <v>4902.4080000000031</v>
      </c>
      <c r="F50" s="57">
        <f>(F32-E32)*'DCF Model with Valuation'!F12</f>
        <v>5310.9419999999991</v>
      </c>
      <c r="G50" s="57">
        <f>(G32-F32)*'DCF Model with Valuation'!G12</f>
        <v>5735.81736</v>
      </c>
      <c r="H50" s="57">
        <f>(H32-G32)*'DCF Model with Valuation'!H12</f>
        <v>5496.8249700000069</v>
      </c>
      <c r="I50" s="57">
        <f>(I32-H32)*'DCF Model with Valuation'!I12</f>
        <v>4837.2059736000056</v>
      </c>
      <c r="J50" s="57">
        <f>(J32-I32)*'DCF Model with Valuation'!J12</f>
        <v>3265.1140321800076</v>
      </c>
      <c r="K50" s="57">
        <f>(K32-J32)*'DCF Model with Valuation'!K12</f>
        <v>3428.3697337890071</v>
      </c>
      <c r="L50" s="57">
        <f>(L32-K32)*'DCF Model with Valuation'!L12</f>
        <v>2159.8729322870727</v>
      </c>
      <c r="M50" s="57">
        <f>(M32-L32)*'DCF Model with Valuation'!M12</f>
        <v>2224.6691202556858</v>
      </c>
    </row>
    <row r="51" spans="1:14" s="16" customFormat="1" ht="20.100000000000001" customHeight="1">
      <c r="A51" s="53"/>
      <c r="B51" s="84" t="s">
        <v>43</v>
      </c>
      <c r="C51" s="91">
        <f>SUM(C46:C50)</f>
        <v>-627490</v>
      </c>
      <c r="D51" s="54">
        <f t="shared" ref="D51:L51" si="10">SUM(D46:D50)</f>
        <v>-15486.199999999999</v>
      </c>
      <c r="E51" s="54">
        <f t="shared" si="10"/>
        <v>-20858.421999999962</v>
      </c>
      <c r="F51" s="54">
        <f t="shared" si="10"/>
        <v>29111.177600000017</v>
      </c>
      <c r="G51" s="54">
        <f t="shared" si="10"/>
        <v>55532.833896000026</v>
      </c>
      <c r="H51" s="54">
        <f t="shared" si="10"/>
        <v>80687.792232800071</v>
      </c>
      <c r="I51" s="54">
        <f>SUM(I46:I50)</f>
        <v>103674.03183891211</v>
      </c>
      <c r="J51" s="54">
        <f t="shared" si="10"/>
        <v>125441.96542593153</v>
      </c>
      <c r="K51" s="54">
        <f t="shared" si="10"/>
        <v>141428.53595945711</v>
      </c>
      <c r="L51" s="54">
        <f t="shared" si="10"/>
        <v>154188.47414472525</v>
      </c>
      <c r="M51" s="54">
        <f>ROUND((SUM(M46:M50)),0)</f>
        <v>151266</v>
      </c>
      <c r="N51" s="53"/>
    </row>
    <row r="52" spans="1:14">
      <c r="B52" s="2"/>
      <c r="C52" s="3"/>
      <c r="D52" s="3"/>
      <c r="E52" s="3"/>
      <c r="F52" s="3"/>
      <c r="G52" s="3"/>
      <c r="H52" s="3"/>
      <c r="I52" s="3"/>
      <c r="J52" s="3"/>
      <c r="K52" s="3"/>
      <c r="L52" s="3"/>
      <c r="M52" s="3"/>
    </row>
    <row r="53" spans="1:14" ht="25.35" customHeight="1" thickBot="1">
      <c r="B53" s="15" t="s">
        <v>44</v>
      </c>
      <c r="D53" s="3"/>
      <c r="E53" s="3"/>
      <c r="F53" s="3"/>
      <c r="G53" s="3"/>
      <c r="H53" s="3"/>
      <c r="I53" s="3"/>
      <c r="J53" s="3"/>
      <c r="K53" s="48" t="s">
        <v>44</v>
      </c>
      <c r="L53" s="49">
        <f>M6</f>
        <v>2035</v>
      </c>
      <c r="M53" s="61">
        <f>ROUND(((M51*(1+'DCF Model with Valuation'!C15))/('DCF Model with Valuation'!C16-'DCF Model with Valuation'!C15)),0)</f>
        <v>1278298</v>
      </c>
    </row>
    <row r="54" spans="1:14">
      <c r="B54" s="2"/>
      <c r="C54" s="2"/>
      <c r="D54" s="2"/>
      <c r="E54" s="2"/>
      <c r="F54" s="2"/>
      <c r="G54" s="2"/>
      <c r="H54" s="2"/>
      <c r="I54" s="2"/>
      <c r="J54" s="2"/>
      <c r="K54" s="2"/>
      <c r="L54" s="2"/>
      <c r="M54" s="2"/>
    </row>
    <row r="55" spans="1:14" s="16" customFormat="1" ht="25.35" customHeight="1" thickBot="1">
      <c r="B55" s="67" t="s">
        <v>45</v>
      </c>
      <c r="C55" s="66">
        <f>C16</f>
        <v>0.14070057402861466</v>
      </c>
      <c r="D55" s="62">
        <f>ROUND((D51/((1+'DCF Model with Valuation'!$C$16)^(D30-C30))),0)</f>
        <v>-13576</v>
      </c>
      <c r="E55" s="62">
        <f>ROUND((E51/((1+'DCF Model with Valuation'!$C$16)^(E30-C30))),0)</f>
        <v>-16030</v>
      </c>
      <c r="F55" s="62">
        <f>ROUND((F51/((1+'DCF Model with Valuation'!$C$16)^(F30-C30))),0)</f>
        <v>19613</v>
      </c>
      <c r="G55" s="62">
        <f>ROUND((G51/((1+'DCF Model with Valuation'!$C$16)^(G30-C30))),0)</f>
        <v>32799</v>
      </c>
      <c r="H55" s="62">
        <f>ROUND((H51/((1+'DCF Model with Valuation'!$C$16)^(H30-C30))),0)</f>
        <v>41778</v>
      </c>
      <c r="I55" s="62">
        <f>ROUND((I51/((1+'DCF Model with Valuation'!$C$16)^(I30-C30))),0)</f>
        <v>47059</v>
      </c>
      <c r="J55" s="62">
        <f>ROUND((J51/((1+'DCF Model with Valuation'!$C$16)^(J30-C30))),0)</f>
        <v>49916</v>
      </c>
      <c r="K55" s="62">
        <f>ROUND((K51/((1+'DCF Model with Valuation'!$C$16)^(K30-C30))),0)</f>
        <v>49336</v>
      </c>
      <c r="L55" s="62">
        <f>ROUND((L51/((1+'DCF Model with Valuation'!$C$16)^(L30-C30))),0)</f>
        <v>47153</v>
      </c>
      <c r="M55" s="62">
        <f>ROUND(((M51+M53)/((1+'DCF Model with Valuation'!$C$16)^(M30-C30))),0)</f>
        <v>383254</v>
      </c>
    </row>
    <row r="56" spans="1:14" ht="11.1" customHeight="1">
      <c r="B56" s="13"/>
      <c r="C56" s="2"/>
      <c r="D56" s="2"/>
      <c r="E56" s="2"/>
      <c r="F56" s="2"/>
      <c r="G56" s="2"/>
      <c r="H56" s="2"/>
      <c r="I56" s="2"/>
      <c r="J56" s="2"/>
      <c r="K56" s="2"/>
      <c r="L56" s="2"/>
      <c r="M56" s="2"/>
    </row>
    <row r="57" spans="1:14" ht="25.35" customHeight="1">
      <c r="B57" s="68" t="s">
        <v>46</v>
      </c>
      <c r="C57" s="91">
        <f>SUM(D55:M55)</f>
        <v>641302</v>
      </c>
      <c r="D57" s="2"/>
      <c r="E57" s="2"/>
      <c r="F57" s="2"/>
      <c r="G57" s="2"/>
      <c r="H57" s="2"/>
      <c r="I57" s="2"/>
      <c r="J57" s="2"/>
      <c r="K57" s="2"/>
      <c r="L57" s="2"/>
      <c r="M57" s="2"/>
    </row>
    <row r="58" spans="1:14" ht="25.35" customHeight="1">
      <c r="B58" s="69" t="s">
        <v>47</v>
      </c>
      <c r="C58" s="51">
        <v>151302</v>
      </c>
      <c r="D58" s="131" t="s">
        <v>48</v>
      </c>
      <c r="E58" s="94"/>
      <c r="F58" s="2"/>
      <c r="G58" s="2"/>
      <c r="H58" s="2"/>
      <c r="I58" s="2"/>
      <c r="J58" s="2"/>
      <c r="K58" s="2"/>
      <c r="L58" s="2"/>
      <c r="M58" s="2"/>
    </row>
    <row r="59" spans="1:14" ht="25.35" customHeight="1">
      <c r="B59" s="69" t="s">
        <v>49</v>
      </c>
      <c r="C59" s="51">
        <v>122976</v>
      </c>
      <c r="D59" s="131"/>
      <c r="E59" s="94"/>
      <c r="F59" s="2"/>
      <c r="G59" s="2"/>
      <c r="H59" s="2"/>
      <c r="I59" s="2"/>
      <c r="J59" s="2"/>
      <c r="K59" s="2"/>
      <c r="L59" s="2"/>
      <c r="M59" s="2"/>
    </row>
    <row r="60" spans="1:14" ht="25.35" customHeight="1">
      <c r="B60" s="69" t="s">
        <v>50</v>
      </c>
      <c r="C60" s="51">
        <v>-28596</v>
      </c>
      <c r="D60" s="131"/>
      <c r="E60" s="94"/>
      <c r="F60" s="2"/>
      <c r="G60" s="2"/>
      <c r="H60" s="2"/>
      <c r="I60" s="2"/>
      <c r="J60" s="2"/>
      <c r="K60" s="2"/>
      <c r="L60" s="2"/>
      <c r="M60" s="2"/>
    </row>
    <row r="61" spans="1:14" ht="25.35" customHeight="1">
      <c r="B61" s="69" t="s">
        <v>51</v>
      </c>
      <c r="C61" s="51">
        <v>0</v>
      </c>
      <c r="D61" s="131"/>
      <c r="E61" s="94"/>
      <c r="F61" s="2"/>
      <c r="G61" s="2"/>
      <c r="H61" s="2"/>
      <c r="I61" s="2"/>
      <c r="J61" s="2"/>
      <c r="K61" s="2"/>
      <c r="L61" s="2"/>
      <c r="M61" s="2"/>
    </row>
    <row r="62" spans="1:14" ht="11.1" customHeight="1">
      <c r="B62" s="70"/>
      <c r="C62" s="2"/>
      <c r="D62" s="10"/>
      <c r="E62" s="2"/>
      <c r="F62" s="2"/>
      <c r="G62" s="2"/>
      <c r="H62" s="2"/>
      <c r="I62" s="2"/>
      <c r="J62" s="2"/>
      <c r="K62" s="2"/>
      <c r="L62" s="2"/>
      <c r="M62" s="2"/>
    </row>
    <row r="63" spans="1:14" ht="25.35" customHeight="1" thickBot="1">
      <c r="B63" s="68" t="s">
        <v>52</v>
      </c>
      <c r="C63" s="61">
        <f>C57+C58-C59-C60-C61</f>
        <v>698224</v>
      </c>
      <c r="D63" s="10"/>
      <c r="E63" s="2"/>
      <c r="F63" s="2"/>
      <c r="G63" s="2"/>
      <c r="H63" s="2"/>
      <c r="I63" s="2"/>
      <c r="J63" s="2"/>
      <c r="K63" s="2"/>
      <c r="L63" s="2"/>
      <c r="M63" s="2"/>
    </row>
    <row r="64" spans="1:14" ht="26.45" customHeight="1">
      <c r="B64" s="69" t="s">
        <v>53</v>
      </c>
      <c r="C64" s="51">
        <v>168419</v>
      </c>
      <c r="D64" s="2"/>
      <c r="E64" s="2"/>
      <c r="F64" s="1"/>
    </row>
    <row r="65" spans="2:13" ht="25.35" customHeight="1" thickBot="1">
      <c r="B65" s="68" t="s">
        <v>54</v>
      </c>
      <c r="C65" s="105">
        <f>C63/C64</f>
        <v>4.1457555263954777</v>
      </c>
      <c r="D65" s="10"/>
      <c r="E65" s="2"/>
      <c r="F65" s="2"/>
      <c r="G65" s="2"/>
      <c r="H65" s="2"/>
      <c r="I65" s="2"/>
      <c r="J65" s="2"/>
      <c r="K65" s="2"/>
      <c r="L65" s="2"/>
      <c r="M65" s="2"/>
    </row>
    <row r="67" spans="2:13" ht="25.35" customHeight="1">
      <c r="B67" s="107" t="s">
        <v>55</v>
      </c>
      <c r="C67" s="106">
        <f ca="1">F3</f>
        <v>7.11</v>
      </c>
      <c r="D67" s="2"/>
      <c r="E67" s="2"/>
      <c r="F67" s="2"/>
      <c r="G67" s="2"/>
      <c r="H67" s="2"/>
      <c r="I67" s="2"/>
      <c r="J67" s="2"/>
      <c r="K67" s="2"/>
      <c r="L67" s="2"/>
      <c r="M67" s="2"/>
    </row>
    <row r="68" spans="2:13" ht="25.35" customHeight="1" thickBot="1">
      <c r="B68" s="68" t="s">
        <v>56</v>
      </c>
      <c r="C68" s="108" t="str">
        <f ca="1">IF(C67&gt;C65,"OVERVALUED","UNDERVALUED")</f>
        <v>OVERVALUED</v>
      </c>
      <c r="D68" s="10"/>
      <c r="E68" s="2"/>
      <c r="F68" s="2"/>
      <c r="G68" s="2"/>
      <c r="H68" s="2"/>
      <c r="I68" s="2"/>
      <c r="J68" s="2"/>
      <c r="K68" s="2"/>
      <c r="L68" s="2"/>
      <c r="M68" s="2"/>
    </row>
  </sheetData>
  <sheetProtection sheet="1" objects="1" scenarios="1"/>
  <mergeCells count="1">
    <mergeCell ref="D58:D61"/>
  </mergeCells>
  <phoneticPr fontId="8" type="noConversion"/>
  <conditionalFormatting sqref="C68">
    <cfRule type="containsText" dxfId="5" priority="1" operator="containsText" text="UNDERVALUED">
      <formula>NOT(ISERROR(SEARCH("UNDERVALUED",C68)))</formula>
    </cfRule>
    <cfRule type="containsText" dxfId="4" priority="2" operator="containsText" text="OVERVALUED">
      <formula>NOT(ISERROR(SEARCH("OVERVALUED",C68)))</formula>
    </cfRule>
  </conditionalFormatting>
  <pageMargins left="0.3" right="0.3" top="0.3" bottom="0.3" header="0" footer="0"/>
  <pageSetup scale="58" fitToHeight="0" orientation="landscape" horizontalDpi="0" verticalDpi="0"/>
  <rowBreaks count="1" manualBreakCount="1">
    <brk id="5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3527A-67AB-4C4A-8D21-CCA3D028BF65}">
  <dimension ref="B1:H24"/>
  <sheetViews>
    <sheetView showGridLines="0" zoomScale="75" workbookViewId="0">
      <selection activeCell="O19" sqref="O19"/>
    </sheetView>
  </sheetViews>
  <sheetFormatPr defaultColWidth="8.85546875" defaultRowHeight="15"/>
  <cols>
    <col min="1" max="1" width="3.85546875" customWidth="1"/>
    <col min="2" max="2" width="48.140625" bestFit="1" customWidth="1"/>
    <col min="3" max="3" width="11.85546875" customWidth="1"/>
    <col min="5" max="5" width="42.140625" customWidth="1"/>
    <col min="6" max="6" width="16.7109375" customWidth="1"/>
    <col min="8" max="8" width="13.7109375" bestFit="1" customWidth="1"/>
  </cols>
  <sheetData>
    <row r="1" spans="2:8" ht="24.95">
      <c r="B1" s="132" t="s">
        <v>57</v>
      </c>
      <c r="C1" s="132"/>
      <c r="D1" s="132"/>
      <c r="E1" s="132"/>
      <c r="F1" s="132"/>
    </row>
    <row r="2" spans="2:8" ht="15.95" thickBot="1"/>
    <row r="3" spans="2:8" ht="25.35" customHeight="1" thickTop="1" thickBot="1">
      <c r="B3" s="100" t="s">
        <v>58</v>
      </c>
      <c r="C3" s="32"/>
      <c r="E3" s="100" t="s">
        <v>59</v>
      </c>
      <c r="F3" s="32"/>
    </row>
    <row r="4" spans="2:8" ht="25.35" customHeight="1">
      <c r="B4" s="71" t="s">
        <v>60</v>
      </c>
      <c r="C4" s="123">
        <f>0.1-C6</f>
        <v>5.5800000000000002E-2</v>
      </c>
      <c r="E4" s="71" t="s">
        <v>61</v>
      </c>
      <c r="F4" s="124">
        <v>1262000</v>
      </c>
      <c r="G4" t="s">
        <v>62</v>
      </c>
      <c r="H4" s="129">
        <f ca="1">'DCF Model with Valuation'!C64*'DCF Model with Valuation'!C67</f>
        <v>1197459.0900000001</v>
      </c>
    </row>
    <row r="5" spans="2:8" ht="25.35" customHeight="1">
      <c r="B5" s="73" t="s">
        <v>63</v>
      </c>
      <c r="C5" s="102">
        <v>1.78</v>
      </c>
      <c r="E5" s="73" t="s">
        <v>64</v>
      </c>
      <c r="F5" s="104">
        <v>28528</v>
      </c>
    </row>
    <row r="6" spans="2:8" ht="25.35" customHeight="1">
      <c r="B6" s="73" t="s">
        <v>65</v>
      </c>
      <c r="C6" s="110">
        <v>4.4200000000000003E-2</v>
      </c>
      <c r="E6" s="99" t="s">
        <v>66</v>
      </c>
      <c r="F6" s="112">
        <f>SUM(F4:F5)</f>
        <v>1290528</v>
      </c>
    </row>
    <row r="7" spans="2:8" ht="25.35" customHeight="1">
      <c r="B7" s="99" t="s">
        <v>67</v>
      </c>
      <c r="C7" s="125">
        <f>C6+(C5*C4)</f>
        <v>0.14352400000000001</v>
      </c>
      <c r="E7" s="101" t="s">
        <v>68</v>
      </c>
      <c r="F7" s="126">
        <f>F4/F6</f>
        <v>0.97789431922437953</v>
      </c>
    </row>
    <row r="8" spans="2:8" ht="25.35" customHeight="1" thickBot="1">
      <c r="E8" s="101" t="s">
        <v>69</v>
      </c>
      <c r="F8" s="126">
        <f>F5/F6</f>
        <v>2.2105680775620522E-2</v>
      </c>
    </row>
    <row r="9" spans="2:8" ht="25.35" customHeight="1" thickTop="1" thickBot="1">
      <c r="B9" s="100" t="s">
        <v>70</v>
      </c>
      <c r="C9" s="32"/>
      <c r="E9" s="100" t="s">
        <v>71</v>
      </c>
      <c r="F9" s="126">
        <f>(F7*C15)+(F8*C21)</f>
        <v>0.14070057402861466</v>
      </c>
    </row>
    <row r="10" spans="2:8" ht="25.35" customHeight="1">
      <c r="B10" s="71" t="s">
        <v>72</v>
      </c>
      <c r="C10" s="127"/>
    </row>
    <row r="11" spans="2:8" ht="25.35" customHeight="1">
      <c r="B11" s="73" t="s">
        <v>73</v>
      </c>
      <c r="C11" s="102"/>
    </row>
    <row r="12" spans="2:8" ht="25.35" customHeight="1">
      <c r="B12" s="73" t="s">
        <v>74</v>
      </c>
      <c r="C12" s="103"/>
    </row>
    <row r="13" spans="2:8" ht="25.35" customHeight="1">
      <c r="B13" s="99" t="s">
        <v>67</v>
      </c>
      <c r="C13" s="126"/>
    </row>
    <row r="15" spans="2:8" ht="25.35" customHeight="1">
      <c r="B15" s="99" t="s">
        <v>75</v>
      </c>
      <c r="C15" s="125">
        <f>C7</f>
        <v>0.14352400000000001</v>
      </c>
    </row>
    <row r="17" spans="2:3" ht="15.95" thickBot="1"/>
    <row r="18" spans="2:3" ht="25.35" customHeight="1" thickTop="1" thickBot="1">
      <c r="B18" s="100" t="s">
        <v>76</v>
      </c>
      <c r="C18" s="32"/>
    </row>
    <row r="19" spans="2:3" ht="25.35" customHeight="1">
      <c r="B19" s="71" t="s">
        <v>77</v>
      </c>
      <c r="C19" s="123">
        <v>0.02</v>
      </c>
    </row>
    <row r="20" spans="2:3" ht="25.35" customHeight="1">
      <c r="B20" s="73" t="s">
        <v>78</v>
      </c>
      <c r="C20" s="111">
        <v>0.21</v>
      </c>
    </row>
    <row r="21" spans="2:3" ht="25.35" customHeight="1">
      <c r="B21" s="99" t="s">
        <v>79</v>
      </c>
      <c r="C21" s="110">
        <f>C19*(1-C20)</f>
        <v>1.5800000000000002E-2</v>
      </c>
    </row>
    <row r="24" spans="2:3" ht="25.35" customHeight="1"/>
  </sheetData>
  <mergeCells count="1">
    <mergeCell ref="B1:F1"/>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4E9D6-BA56-6A48-8A68-5EA63652FA1D}">
  <sheetPr>
    <tabColor theme="3" tint="0.59999389629810485"/>
    <outlinePr summaryBelow="0"/>
    <pageSetUpPr fitToPage="1"/>
  </sheetPr>
  <dimension ref="A1:AI68"/>
  <sheetViews>
    <sheetView showGridLines="0" zoomScale="75" zoomScaleNormal="70" workbookViewId="0">
      <selection activeCell="K27" sqref="K27"/>
    </sheetView>
  </sheetViews>
  <sheetFormatPr defaultColWidth="8.85546875" defaultRowHeight="15"/>
  <cols>
    <col min="1" max="1" width="3" customWidth="1"/>
    <col min="2" max="2" width="58.85546875" customWidth="1"/>
    <col min="3" max="3" width="14.85546875" customWidth="1"/>
    <col min="4" max="4" width="16.85546875" bestFit="1" customWidth="1"/>
    <col min="5" max="5" width="20.28515625" customWidth="1"/>
    <col min="6" max="13" width="14.85546875" customWidth="1"/>
    <col min="14" max="14" width="3.28515625" customWidth="1"/>
  </cols>
  <sheetData>
    <row r="1" spans="2:13" s="7" customFormat="1" ht="42" customHeight="1">
      <c r="B1" s="8" t="s">
        <v>0</v>
      </c>
      <c r="F1" s="128"/>
    </row>
    <row r="2" spans="2:13" s="7" customFormat="1" thickBot="1">
      <c r="B2" s="25" t="s">
        <v>1</v>
      </c>
      <c r="C2" s="26" t="s">
        <v>2</v>
      </c>
      <c r="D2" s="26" t="s">
        <v>3</v>
      </c>
      <c r="E2" s="26" t="s">
        <v>4</v>
      </c>
      <c r="F2" s="26" t="s">
        <v>5</v>
      </c>
    </row>
    <row r="3" spans="2:13" s="7" customFormat="1" ht="42" customHeight="1" thickTop="1" thickBot="1">
      <c r="B3" s="23" t="str" cm="1">
        <f t="array" aca="1" ref="B3" ca="1">_FV(E3,"Name")</f>
        <v>EVOLV TECHNOLOGIES HOLDINGS, INC.</v>
      </c>
      <c r="C3" s="24">
        <v>2026</v>
      </c>
      <c r="D3" s="24" t="s">
        <v>6</v>
      </c>
      <c r="E3" s="24" t="e" vm="2">
        <v>#VALUE!</v>
      </c>
      <c r="F3" s="109" cm="1">
        <f t="array" aca="1" ref="F3" ca="1">_FV(E3,"Price")</f>
        <v>6.24</v>
      </c>
    </row>
    <row r="4" spans="2:13" ht="20.100000000000001" customHeight="1">
      <c r="B4" s="4" t="s">
        <v>7</v>
      </c>
      <c r="C4" s="5"/>
      <c r="D4" s="5"/>
      <c r="E4" s="5"/>
      <c r="F4" s="1"/>
    </row>
    <row r="5" spans="2:13" ht="21.95" thickBot="1">
      <c r="B5" s="14" t="s">
        <v>8</v>
      </c>
      <c r="C5" s="12"/>
      <c r="D5" s="12"/>
      <c r="E5" s="12"/>
      <c r="F5" s="12"/>
      <c r="G5" s="12"/>
      <c r="H5" s="12"/>
      <c r="I5" s="12"/>
      <c r="J5" s="12"/>
      <c r="K5" s="12"/>
      <c r="L5" s="12"/>
      <c r="M5" s="12"/>
    </row>
    <row r="6" spans="2:13" s="16" customFormat="1" ht="25.35" customHeight="1" thickTop="1" thickBot="1">
      <c r="B6" s="23" t="s">
        <v>9</v>
      </c>
      <c r="C6" s="21"/>
      <c r="D6" s="32">
        <f>C3</f>
        <v>2026</v>
      </c>
      <c r="E6" s="22">
        <f t="shared" ref="E6:M6" si="0">D6+1</f>
        <v>2027</v>
      </c>
      <c r="F6" s="22">
        <f t="shared" si="0"/>
        <v>2028</v>
      </c>
      <c r="G6" s="22">
        <f t="shared" si="0"/>
        <v>2029</v>
      </c>
      <c r="H6" s="22">
        <f t="shared" si="0"/>
        <v>2030</v>
      </c>
      <c r="I6" s="22">
        <f t="shared" si="0"/>
        <v>2031</v>
      </c>
      <c r="J6" s="22">
        <f t="shared" si="0"/>
        <v>2032</v>
      </c>
      <c r="K6" s="22">
        <f t="shared" si="0"/>
        <v>2033</v>
      </c>
      <c r="L6" s="22">
        <f t="shared" si="0"/>
        <v>2034</v>
      </c>
      <c r="M6" s="22">
        <f t="shared" si="0"/>
        <v>2035</v>
      </c>
    </row>
    <row r="7" spans="2:13" s="16" customFormat="1" ht="20.100000000000001" customHeight="1">
      <c r="B7" s="71" t="s">
        <v>10</v>
      </c>
      <c r="C7" s="72"/>
      <c r="D7" s="130">
        <v>0.4</v>
      </c>
      <c r="E7" s="19">
        <v>0.34</v>
      </c>
      <c r="F7" s="19">
        <v>0.28999999999999998</v>
      </c>
      <c r="G7" s="19">
        <v>0.23</v>
      </c>
      <c r="H7" s="19">
        <v>0.17</v>
      </c>
      <c r="I7" s="19">
        <v>0.14000000000000001</v>
      </c>
      <c r="J7" s="19">
        <v>0.11</v>
      </c>
      <c r="K7" s="19">
        <v>0.09</v>
      </c>
      <c r="L7" s="19">
        <v>0.06</v>
      </c>
      <c r="M7" s="19">
        <v>0.03</v>
      </c>
    </row>
    <row r="8" spans="2:13" s="16" customFormat="1" ht="20.100000000000001" customHeight="1">
      <c r="B8" s="73" t="s">
        <v>11</v>
      </c>
      <c r="C8" s="74"/>
      <c r="D8" s="19">
        <v>0.55000000000000004</v>
      </c>
      <c r="E8" s="19">
        <v>0.56999999999999995</v>
      </c>
      <c r="F8" s="19">
        <v>0.57999999999999996</v>
      </c>
      <c r="G8" s="20">
        <v>0.59</v>
      </c>
      <c r="H8" s="20">
        <v>0.6</v>
      </c>
      <c r="I8" s="20">
        <v>0.61</v>
      </c>
      <c r="J8" s="20">
        <v>0.62</v>
      </c>
      <c r="K8" s="20">
        <v>0.62</v>
      </c>
      <c r="L8" s="20">
        <v>0.62</v>
      </c>
      <c r="M8" s="20">
        <v>0.62</v>
      </c>
    </row>
    <row r="9" spans="2:13" s="16" customFormat="1" ht="20.100000000000001" customHeight="1">
      <c r="B9" s="73" t="s">
        <v>12</v>
      </c>
      <c r="C9" s="74"/>
      <c r="D9" s="19">
        <v>0.56999999999999995</v>
      </c>
      <c r="E9" s="19">
        <v>0.5</v>
      </c>
      <c r="F9" s="19">
        <v>0.44</v>
      </c>
      <c r="G9" s="19">
        <v>0.39</v>
      </c>
      <c r="H9" s="19">
        <v>0.35</v>
      </c>
      <c r="I9" s="19">
        <v>0.32</v>
      </c>
      <c r="J9" s="19">
        <v>0.28999999999999998</v>
      </c>
      <c r="K9" s="19">
        <v>0.27</v>
      </c>
      <c r="L9" s="19">
        <v>0.25</v>
      </c>
      <c r="M9" s="19">
        <v>0.24</v>
      </c>
    </row>
    <row r="10" spans="2:13" s="16" customFormat="1" ht="20.100000000000001" customHeight="1">
      <c r="B10" s="73" t="s">
        <v>13</v>
      </c>
      <c r="C10" s="74"/>
      <c r="D10" s="116">
        <v>0.15</v>
      </c>
      <c r="E10" s="116">
        <v>0.13</v>
      </c>
      <c r="F10" s="116">
        <v>0.12</v>
      </c>
      <c r="G10" s="116">
        <v>0.11</v>
      </c>
      <c r="H10" s="116">
        <v>0.1</v>
      </c>
      <c r="I10" s="116">
        <v>0.09</v>
      </c>
      <c r="J10" s="116">
        <v>0.09</v>
      </c>
      <c r="K10" s="116">
        <v>0.08</v>
      </c>
      <c r="L10" s="116">
        <v>0.08</v>
      </c>
      <c r="M10" s="116">
        <v>7.0000000000000007E-2</v>
      </c>
    </row>
    <row r="11" spans="2:13" s="16" customFormat="1" ht="20.100000000000001" customHeight="1">
      <c r="B11" s="73" t="s">
        <v>14</v>
      </c>
      <c r="C11" s="74"/>
      <c r="D11" s="116">
        <v>0.09</v>
      </c>
      <c r="E11" s="116">
        <v>0.09</v>
      </c>
      <c r="F11" s="116">
        <v>7.0000000000000007E-2</v>
      </c>
      <c r="G11" s="116">
        <v>0.05</v>
      </c>
      <c r="H11" s="116">
        <v>0.04</v>
      </c>
      <c r="I11" s="116">
        <v>0.03</v>
      </c>
      <c r="J11" s="116">
        <v>0.03</v>
      </c>
      <c r="K11" s="116">
        <v>0.03</v>
      </c>
      <c r="L11" s="116">
        <v>0.03</v>
      </c>
      <c r="M11" s="116">
        <v>0.03</v>
      </c>
    </row>
    <row r="12" spans="2:13" s="16" customFormat="1" ht="20.100000000000001" customHeight="1">
      <c r="B12" s="73" t="s">
        <v>15</v>
      </c>
      <c r="C12" s="74"/>
      <c r="D12" s="116">
        <v>0.03</v>
      </c>
      <c r="E12" s="117">
        <v>0.06</v>
      </c>
      <c r="F12" s="117">
        <v>0.08</v>
      </c>
      <c r="G12" s="117">
        <v>0.1</v>
      </c>
      <c r="H12" s="117">
        <v>0.13</v>
      </c>
      <c r="I12" s="117">
        <v>0.13</v>
      </c>
      <c r="J12" s="117">
        <v>0.13</v>
      </c>
      <c r="K12" s="117">
        <v>0.13</v>
      </c>
      <c r="L12" s="117">
        <v>0.13</v>
      </c>
      <c r="M12" s="117">
        <v>0.13</v>
      </c>
    </row>
    <row r="13" spans="2:13" s="16" customFormat="1" ht="18" customHeight="1">
      <c r="B13" s="17"/>
      <c r="C13" s="18"/>
      <c r="D13" s="118"/>
      <c r="E13" s="118"/>
      <c r="F13" s="118"/>
      <c r="G13" s="118"/>
      <c r="H13" s="118"/>
      <c r="I13" s="118"/>
      <c r="J13" s="118"/>
      <c r="K13" s="118"/>
      <c r="L13" s="118"/>
      <c r="M13" s="118"/>
    </row>
    <row r="14" spans="2:13" s="16" customFormat="1" ht="20.100000000000001" customHeight="1">
      <c r="B14" s="75" t="s">
        <v>16</v>
      </c>
      <c r="C14" s="33">
        <v>0.21</v>
      </c>
      <c r="D14" s="118"/>
      <c r="E14" s="118"/>
      <c r="F14" s="118"/>
      <c r="G14" s="118"/>
      <c r="H14" s="118"/>
      <c r="I14" s="118"/>
      <c r="J14" s="118"/>
      <c r="K14" s="118"/>
      <c r="L14" s="118"/>
      <c r="M14" s="118"/>
    </row>
    <row r="15" spans="2:13" s="16" customFormat="1" ht="20.100000000000001" customHeight="1">
      <c r="B15" s="75" t="s">
        <v>17</v>
      </c>
      <c r="C15" s="119">
        <v>0.02</v>
      </c>
      <c r="D15" s="17" t="s">
        <v>18</v>
      </c>
      <c r="E15" s="120">
        <f>M6</f>
        <v>2035</v>
      </c>
      <c r="F15" s="118"/>
      <c r="G15" s="118"/>
      <c r="H15" s="118"/>
      <c r="I15" s="118"/>
      <c r="J15" s="118"/>
      <c r="K15" s="118"/>
      <c r="L15" s="118"/>
      <c r="M15" s="118"/>
    </row>
    <row r="16" spans="2:13" s="16" customFormat="1" ht="20.100000000000001" customHeight="1">
      <c r="B16" s="75" t="s">
        <v>19</v>
      </c>
      <c r="C16" s="35">
        <f>WACC!F9</f>
        <v>0.14070057402861466</v>
      </c>
      <c r="D16" s="18"/>
      <c r="E16" s="118"/>
      <c r="F16" s="118"/>
      <c r="G16" s="118"/>
      <c r="H16" s="118"/>
      <c r="I16" s="118"/>
      <c r="J16" s="118"/>
      <c r="K16" s="118"/>
      <c r="L16" s="118"/>
      <c r="M16" s="118"/>
    </row>
    <row r="17" spans="1:35">
      <c r="B17" s="11"/>
      <c r="C17" s="121"/>
      <c r="D17" s="12"/>
      <c r="E17" s="121"/>
      <c r="F17" s="121"/>
      <c r="G17" s="121"/>
      <c r="H17" s="121"/>
      <c r="I17" s="121"/>
      <c r="J17" s="121"/>
      <c r="K17" s="121"/>
      <c r="L17" s="121"/>
      <c r="M17" s="121"/>
    </row>
    <row r="18" spans="1:35" ht="21.95" thickBot="1">
      <c r="B18" s="14" t="s">
        <v>20</v>
      </c>
      <c r="C18" s="12"/>
      <c r="D18" s="12"/>
      <c r="E18" s="12"/>
      <c r="F18" s="12"/>
      <c r="G18" s="12"/>
      <c r="H18" s="12"/>
      <c r="I18" s="12"/>
      <c r="J18" s="12"/>
      <c r="K18" s="12"/>
      <c r="L18" s="12"/>
      <c r="M18" s="12"/>
    </row>
    <row r="19" spans="1:35" ht="25.35" customHeight="1" thickTop="1" thickBot="1">
      <c r="B19" s="23" t="s">
        <v>9</v>
      </c>
      <c r="C19" s="21"/>
      <c r="D19" s="29">
        <f t="shared" ref="D19:M19" si="1">D6</f>
        <v>2026</v>
      </c>
      <c r="E19" s="29">
        <f t="shared" si="1"/>
        <v>2027</v>
      </c>
      <c r="F19" s="29">
        <f t="shared" si="1"/>
        <v>2028</v>
      </c>
      <c r="G19" s="29">
        <f t="shared" si="1"/>
        <v>2029</v>
      </c>
      <c r="H19" s="29">
        <f t="shared" si="1"/>
        <v>2030</v>
      </c>
      <c r="I19" s="29">
        <f t="shared" si="1"/>
        <v>2031</v>
      </c>
      <c r="J19" s="29">
        <f t="shared" si="1"/>
        <v>2032</v>
      </c>
      <c r="K19" s="29">
        <f t="shared" si="1"/>
        <v>2033</v>
      </c>
      <c r="L19" s="29">
        <f t="shared" si="1"/>
        <v>2034</v>
      </c>
      <c r="M19" s="29">
        <f t="shared" si="1"/>
        <v>2035</v>
      </c>
    </row>
    <row r="20" spans="1:35" s="16" customFormat="1" ht="20.100000000000001" customHeight="1">
      <c r="B20" s="76" t="s">
        <v>21</v>
      </c>
      <c r="C20" s="77"/>
      <c r="D20" s="33">
        <f>IFERROR('Sensitivity Analysis(Bull)'!D35/'Sensitivity Analysis(Bull)'!D32,"")</f>
        <v>0.55000073433300534</v>
      </c>
      <c r="E20" s="34">
        <f>IFERROR('Sensitivity Analysis(Bull)'!E35/'Sensitivity Analysis(Bull)'!E32,"")</f>
        <v>0.5699987045050563</v>
      </c>
      <c r="F20" s="34">
        <f>IFERROR('Sensitivity Analysis(Bull)'!F35/'Sensitivity Analysis(Bull)'!F32,"")</f>
        <v>0.58000083038055661</v>
      </c>
      <c r="G20" s="34">
        <f>IFERROR('Sensitivity Analysis(Bull)'!G35/'Sensitivity Analysis(Bull)'!G32,"")</f>
        <v>0.59000064614434689</v>
      </c>
      <c r="H20" s="34">
        <f>IFERROR('Sensitivity Analysis(Bull)'!H35/'Sensitivity Analysis(Bull)'!H32,"")</f>
        <v>0.60000028479172074</v>
      </c>
      <c r="I20" s="34">
        <f>IFERROR('Sensitivity Analysis(Bull)'!I35/'Sensitivity Analysis(Bull)'!I32,"")</f>
        <v>0.61000035362828575</v>
      </c>
      <c r="J20" s="34">
        <f>IFERROR('Sensitivity Analysis(Bull)'!J35/'Sensitivity Analysis(Bull)'!J32,"")</f>
        <v>0.62000048094067095</v>
      </c>
      <c r="K20" s="34">
        <f>IFERROR('Sensitivity Analysis(Bull)'!K35/'Sensitivity Analysis(Bull)'!K32,"")</f>
        <v>0.6199999102221444</v>
      </c>
      <c r="L20" s="34">
        <f>IFERROR('Sensitivity Analysis(Bull)'!L35/'Sensitivity Analysis(Bull)'!L32,"")</f>
        <v>0.61999972177734786</v>
      </c>
      <c r="M20" s="34">
        <f>IFERROR('Sensitivity Analysis(Bull)'!M35/'Sensitivity Analysis(Bull)'!M32,"")</f>
        <v>0.62000015303104317</v>
      </c>
    </row>
    <row r="21" spans="1:35" s="16" customFormat="1" ht="20.100000000000001" customHeight="1">
      <c r="B21" s="78" t="s">
        <v>22</v>
      </c>
      <c r="C21" s="79"/>
      <c r="D21" s="35">
        <f>IFERROR('Sensitivity Analysis(Bull)'!D46/'Sensitivity Analysis(Bull)'!D32,"")</f>
        <v>-0.16999809073418615</v>
      </c>
      <c r="E21" s="36">
        <f>IFERROR('Sensitivity Analysis(Bull)'!E46/'Sensitivity Analysis(Bull)'!E32,"")</f>
        <v>-6.0000559700579083E-2</v>
      </c>
      <c r="F21" s="36">
        <f>IFERROR('Sensitivity Analysis(Bull)'!F46/'Sensitivity Analysis(Bull)'!F32,"")</f>
        <v>2.0000049493631225E-2</v>
      </c>
      <c r="G21" s="36">
        <f>IFERROR('Sensitivity Analysis(Bull)'!G46/'Sensitivity Analysis(Bull)'!G32,"")</f>
        <v>9.0000647901164715E-2</v>
      </c>
      <c r="H21" s="36">
        <f>IFERROR('Sensitivity Analysis(Bull)'!H46/'Sensitivity Analysis(Bull)'!H32,"")</f>
        <v>0.15000060518240652</v>
      </c>
      <c r="I21" s="36">
        <f>IFERROR('Sensitivity Analysis(Bull)'!I46/'Sensitivity Analysis(Bull)'!I32,"")</f>
        <v>0.20000001717356525</v>
      </c>
      <c r="J21" s="36">
        <f>IFERROR('Sensitivity Analysis(Bull)'!J46/'Sensitivity Analysis(Bull)'!J32,"")</f>
        <v>0.24000096188134193</v>
      </c>
      <c r="K21" s="36">
        <f>IFERROR('Sensitivity Analysis(Bull)'!K46/'Sensitivity Analysis(Bull)'!K32,"")</f>
        <v>0.21553945719628767</v>
      </c>
      <c r="L21" s="36">
        <f>IFERROR('Sensitivity Analysis(Bull)'!L46/'Sensitivity Analysis(Bull)'!L32,"")</f>
        <v>0.22909939344531524</v>
      </c>
      <c r="M21" s="36">
        <f>IFERROR('Sensitivity Analysis(Bull)'!M46/'Sensitivity Analysis(Bull)'!M32,"")</f>
        <v>0.24489945880674438</v>
      </c>
    </row>
    <row r="22" spans="1:35" s="16" customFormat="1" ht="20.100000000000001" customHeight="1">
      <c r="B22" s="78" t="s">
        <v>23</v>
      </c>
      <c r="C22" s="79"/>
      <c r="D22" s="37">
        <f>'Sensitivity Analysis(Bull)'!D51/1000000</f>
        <v>-6.4031100000000009E-3</v>
      </c>
      <c r="E22" s="38">
        <f>'Sensitivity Analysis(Bull)'!E51/1000000</f>
        <v>1.8891649500000027E-2</v>
      </c>
      <c r="F22" s="38">
        <f>'Sensitivity Analysis(Bull)'!F51/1000000</f>
        <v>5.103854898500005E-2</v>
      </c>
      <c r="G22" s="38">
        <f>'Sensitivity Analysis(Bull)'!G51/1000000</f>
        <v>9.0000286362050042E-2</v>
      </c>
      <c r="H22" s="38">
        <f>'Sensitivity Analysis(Bull)'!H51/1000000</f>
        <v>0.13145133005473256</v>
      </c>
      <c r="I22" s="38">
        <f>'Sensitivity Analysis(Bull)'!I51/1000000</f>
        <v>0.17190146129852915</v>
      </c>
      <c r="J22" s="38">
        <f>'Sensitivity Analysis(Bull)'!J51/1000000</f>
        <v>0.2149766810881118</v>
      </c>
      <c r="K22" s="38">
        <f>'Sensitivity Analysis(Bull)'!K51/1000000</f>
        <v>0.20899566808020573</v>
      </c>
      <c r="L22" s="38">
        <f>'Sensitivity Analysis(Bull)'!L51/1000000</f>
        <v>0.2292713785711441</v>
      </c>
      <c r="M22" s="38">
        <f>'Sensitivity Analysis(Bull)'!M51/1000000</f>
        <v>0.23785400000000001</v>
      </c>
    </row>
    <row r="23" spans="1:35" s="16" customFormat="1" ht="20.100000000000001" customHeight="1" thickBot="1">
      <c r="B23" s="95" t="s">
        <v>24</v>
      </c>
      <c r="C23" s="96"/>
      <c r="D23" s="97"/>
      <c r="E23" s="98"/>
      <c r="F23" s="98"/>
      <c r="G23" s="98"/>
      <c r="H23" s="98"/>
      <c r="I23" s="98"/>
      <c r="J23" s="98"/>
      <c r="K23" s="98"/>
      <c r="L23" s="98"/>
      <c r="M23" s="39">
        <f>'Sensitivity Analysis(Bull)'!M53/1000000</f>
        <v>2.010024</v>
      </c>
    </row>
    <row r="24" spans="1:35" s="16" customFormat="1" ht="11.1" customHeight="1">
      <c r="B24" s="30"/>
      <c r="C24" s="6"/>
      <c r="D24" s="6"/>
      <c r="E24" s="6"/>
      <c r="F24" s="6"/>
      <c r="G24" s="6"/>
      <c r="H24" s="6"/>
      <c r="I24" s="6"/>
      <c r="J24" s="6"/>
      <c r="K24" s="6"/>
      <c r="L24" s="6"/>
      <c r="M24" s="27"/>
    </row>
    <row r="25" spans="1:35" s="16" customFormat="1" ht="20.100000000000001" customHeight="1" thickBot="1">
      <c r="B25" s="40" t="s">
        <v>25</v>
      </c>
      <c r="C25" s="41"/>
      <c r="D25" s="92">
        <f>'Sensitivity Analysis(Bull)'!C57/1000000</f>
        <v>1.0737399999999999</v>
      </c>
      <c r="E25" s="6"/>
      <c r="F25" s="6"/>
      <c r="G25" s="6"/>
      <c r="H25" s="6"/>
      <c r="I25" s="6"/>
      <c r="J25" s="6"/>
      <c r="K25" s="6"/>
      <c r="L25" s="6"/>
      <c r="M25" s="6"/>
    </row>
    <row r="26" spans="1:35" s="16" customFormat="1" ht="11.1" customHeight="1">
      <c r="B26" s="31"/>
      <c r="C26" s="15"/>
      <c r="D26" s="28"/>
      <c r="E26" s="6"/>
      <c r="F26" s="6"/>
      <c r="G26" s="6"/>
      <c r="H26" s="6"/>
      <c r="I26" s="6"/>
      <c r="J26" s="6"/>
      <c r="K26" s="6"/>
      <c r="L26" s="6"/>
      <c r="M26" s="6"/>
    </row>
    <row r="27" spans="1:35" s="16" customFormat="1" ht="20.100000000000001" customHeight="1" thickBot="1">
      <c r="B27" s="40" t="s">
        <v>26</v>
      </c>
      <c r="C27" s="41"/>
      <c r="D27" s="93">
        <f>'Sensitivity Analysis(Bull)'!C63/1000000</f>
        <v>1.1306620000000001</v>
      </c>
      <c r="E27" s="6"/>
      <c r="F27" s="6"/>
      <c r="G27" s="6"/>
      <c r="H27" s="6"/>
      <c r="I27" s="6"/>
      <c r="J27" s="6"/>
      <c r="K27" s="6"/>
      <c r="L27" s="6"/>
      <c r="M27" s="6"/>
    </row>
    <row r="28" spans="1:35" ht="15.95" thickBot="1">
      <c r="B28" s="2"/>
      <c r="C28" s="2"/>
      <c r="D28" s="2"/>
      <c r="E28" s="2"/>
      <c r="F28" s="2"/>
      <c r="G28" s="2"/>
      <c r="H28" s="2"/>
      <c r="I28" s="2"/>
      <c r="J28" s="2"/>
      <c r="K28" s="2"/>
      <c r="L28" s="2"/>
      <c r="M28" s="2"/>
    </row>
    <row r="29" spans="1:35" ht="25.35" customHeight="1" thickTop="1">
      <c r="B29" s="2"/>
      <c r="C29" s="42" t="s">
        <v>27</v>
      </c>
      <c r="D29" s="43" t="s">
        <v>28</v>
      </c>
      <c r="E29" s="44"/>
      <c r="F29" s="44"/>
      <c r="G29" s="44"/>
      <c r="H29" s="44"/>
      <c r="I29" s="44"/>
      <c r="J29" s="44"/>
      <c r="K29" s="44"/>
      <c r="L29" s="44"/>
      <c r="M29" s="45"/>
    </row>
    <row r="30" spans="1:35" ht="20.100000000000001" customHeight="1" thickBot="1">
      <c r="A30" s="9"/>
      <c r="B30" s="2"/>
      <c r="C30" s="46">
        <f>D6-1</f>
        <v>2025</v>
      </c>
      <c r="D30" s="47">
        <f t="shared" ref="D30:M30" si="2">C30+1</f>
        <v>2026</v>
      </c>
      <c r="E30" s="47">
        <f t="shared" si="2"/>
        <v>2027</v>
      </c>
      <c r="F30" s="47">
        <f t="shared" si="2"/>
        <v>2028</v>
      </c>
      <c r="G30" s="47">
        <f t="shared" si="2"/>
        <v>2029</v>
      </c>
      <c r="H30" s="47">
        <f t="shared" si="2"/>
        <v>2030</v>
      </c>
      <c r="I30" s="47">
        <f t="shared" si="2"/>
        <v>2031</v>
      </c>
      <c r="J30" s="47">
        <f t="shared" si="2"/>
        <v>2032</v>
      </c>
      <c r="K30" s="47">
        <f t="shared" si="2"/>
        <v>2033</v>
      </c>
      <c r="L30" s="47">
        <f t="shared" si="2"/>
        <v>2034</v>
      </c>
      <c r="M30" s="47">
        <f t="shared" si="2"/>
        <v>2035</v>
      </c>
      <c r="N30" s="9"/>
      <c r="O30" s="9"/>
      <c r="P30" s="9"/>
      <c r="Q30" s="9"/>
      <c r="R30" s="9"/>
      <c r="S30" s="9"/>
      <c r="T30" s="9"/>
      <c r="U30" s="9"/>
      <c r="V30" s="9"/>
      <c r="W30" s="9"/>
      <c r="X30" s="9"/>
      <c r="Y30" s="9"/>
      <c r="Z30" s="9"/>
      <c r="AA30" s="9"/>
      <c r="AB30" s="9"/>
      <c r="AC30" s="9"/>
      <c r="AD30" s="9"/>
      <c r="AE30" s="9"/>
      <c r="AF30" s="9"/>
      <c r="AG30" s="9"/>
      <c r="AH30" s="9"/>
      <c r="AI30" s="9"/>
    </row>
    <row r="31" spans="1:35" ht="11.1" customHeight="1">
      <c r="B31" s="2"/>
      <c r="C31" s="2"/>
      <c r="D31" s="2"/>
      <c r="E31" s="2"/>
      <c r="F31" s="2"/>
      <c r="G31" s="2"/>
      <c r="H31" s="2"/>
      <c r="I31" s="2"/>
      <c r="J31" s="2"/>
      <c r="K31" s="2"/>
      <c r="L31" s="2"/>
      <c r="M31" s="2"/>
    </row>
    <row r="32" spans="1:35" s="16" customFormat="1" ht="20.100000000000001" customHeight="1">
      <c r="B32" s="82" t="s">
        <v>29</v>
      </c>
      <c r="C32" s="50">
        <v>145905</v>
      </c>
      <c r="D32" s="54">
        <f>C32*(1+'Sensitivity Analysis(Bull)'!D7)</f>
        <v>204267</v>
      </c>
      <c r="E32" s="54">
        <f>D32*(1+'Sensitivity Analysis(Bull)'!E7)</f>
        <v>273717.78000000003</v>
      </c>
      <c r="F32" s="54">
        <f>E32*(1+'Sensitivity Analysis(Bull)'!F7)</f>
        <v>353095.93620000005</v>
      </c>
      <c r="G32" s="54">
        <f>F32*(1+'Sensitivity Analysis(Bull)'!G7)</f>
        <v>434308.00152600004</v>
      </c>
      <c r="H32" s="54">
        <f>G32*(1+'Sensitivity Analysis(Bull)'!H7)</f>
        <v>508140.36178541998</v>
      </c>
      <c r="I32" s="54">
        <f>H32*(1+'Sensitivity Analysis(Bull)'!I7)</f>
        <v>579280.01243537886</v>
      </c>
      <c r="J32" s="54">
        <f>I32*(1+'Sensitivity Analysis(Bull)'!J7)</f>
        <v>643000.81380327058</v>
      </c>
      <c r="K32" s="54">
        <f>J32*(1+'Sensitivity Analysis(Bull)'!K7)</f>
        <v>700870.88704556494</v>
      </c>
      <c r="L32" s="54">
        <f>K32*(1+'Sensitivity Analysis(Bull)'!L7)</f>
        <v>742923.14026829891</v>
      </c>
      <c r="M32" s="54">
        <f>L32*(1+'Sensitivity Analysis(Bull)'!M7)</f>
        <v>765210.8344763479</v>
      </c>
    </row>
    <row r="33" spans="1:23" ht="11.1" customHeight="1">
      <c r="B33" s="63"/>
      <c r="C33" s="122"/>
      <c r="D33" s="122"/>
      <c r="E33" s="122"/>
      <c r="F33" s="122"/>
      <c r="G33" s="122"/>
      <c r="H33" s="122"/>
      <c r="I33" s="122"/>
      <c r="J33" s="122"/>
      <c r="K33" s="122"/>
      <c r="L33" s="122"/>
      <c r="M33" s="122"/>
    </row>
    <row r="34" spans="1:23" s="16" customFormat="1" ht="20.100000000000001" customHeight="1">
      <c r="B34" s="83" t="s">
        <v>30</v>
      </c>
      <c r="C34" s="85">
        <v>70603</v>
      </c>
      <c r="D34" s="57">
        <f>ROUND((D32*(1-'Sensitivity Analysis(Bull)'!D8)),0)</f>
        <v>91920</v>
      </c>
      <c r="E34" s="57">
        <f>ROUND((E32*(1-'Sensitivity Analysis(Bull)'!E8)),0)</f>
        <v>117699</v>
      </c>
      <c r="F34" s="57">
        <f>ROUND((F32*(1-'Sensitivity Analysis(Bull)'!F8)),0)</f>
        <v>148300</v>
      </c>
      <c r="G34" s="57">
        <f>ROUND((G32*(1-'Sensitivity Analysis(Bull)'!G8)),0)</f>
        <v>178066</v>
      </c>
      <c r="H34" s="57">
        <f>ROUND((H32*(1-'Sensitivity Analysis(Bull)'!H8)),0)</f>
        <v>203256</v>
      </c>
      <c r="I34" s="57">
        <f>ROUND((I32*(1-'Sensitivity Analysis(Bull)'!I8)),0)</f>
        <v>225919</v>
      </c>
      <c r="J34" s="57">
        <f>ROUND((J32*(1-'Sensitivity Analysis(Bull)'!J8)),0)</f>
        <v>244340</v>
      </c>
      <c r="K34" s="57">
        <f>ROUND((K32*(1-'Sensitivity Analysis(Bull)'!K8)),0)</f>
        <v>266331</v>
      </c>
      <c r="L34" s="57">
        <f>ROUND((L32*(1-'Sensitivity Analysis(Bull)'!L8)),0)</f>
        <v>282311</v>
      </c>
      <c r="M34" s="57">
        <f>ROUND((M32*(1-'Sensitivity Analysis(Bull)'!M8)),0)</f>
        <v>290780</v>
      </c>
    </row>
    <row r="35" spans="1:23" s="16" customFormat="1" ht="20.100000000000001" customHeight="1">
      <c r="B35" s="84" t="s">
        <v>31</v>
      </c>
      <c r="C35" s="55">
        <v>75302</v>
      </c>
      <c r="D35" s="58">
        <f t="shared" ref="D35:M35" si="3">D32-D34</f>
        <v>112347</v>
      </c>
      <c r="E35" s="58">
        <f t="shared" si="3"/>
        <v>156018.78000000003</v>
      </c>
      <c r="F35" s="58">
        <f t="shared" si="3"/>
        <v>204795.93620000005</v>
      </c>
      <c r="G35" s="58">
        <f t="shared" si="3"/>
        <v>256242.00152600004</v>
      </c>
      <c r="H35" s="58">
        <f t="shared" si="3"/>
        <v>304884.36178541998</v>
      </c>
      <c r="I35" s="58">
        <f t="shared" si="3"/>
        <v>353361.01243537886</v>
      </c>
      <c r="J35" s="58">
        <f t="shared" si="3"/>
        <v>398660.81380327058</v>
      </c>
      <c r="K35" s="58">
        <f t="shared" si="3"/>
        <v>434539.88704556494</v>
      </c>
      <c r="L35" s="58">
        <f t="shared" si="3"/>
        <v>460612.14026829891</v>
      </c>
      <c r="M35" s="58">
        <f t="shared" si="3"/>
        <v>474430.8344763479</v>
      </c>
    </row>
    <row r="36" spans="1:23" ht="11.1" customHeight="1">
      <c r="B36" s="64"/>
      <c r="C36" s="2"/>
      <c r="D36" s="2"/>
      <c r="E36" s="2"/>
      <c r="F36" s="2"/>
      <c r="G36" s="2"/>
      <c r="H36" s="2"/>
      <c r="I36" s="2"/>
      <c r="J36" s="2"/>
      <c r="K36" s="2"/>
      <c r="L36" s="2"/>
      <c r="M36" s="2"/>
    </row>
    <row r="37" spans="1:23" s="16" customFormat="1" ht="20.100000000000001" customHeight="1">
      <c r="B37" s="86" t="s">
        <v>32</v>
      </c>
      <c r="C37" s="51">
        <f>185897+160635+59796-6491</f>
        <v>399837</v>
      </c>
      <c r="D37" s="57">
        <f>ROUND((D32*'Sensitivity Analysis(Bull)'!D9),0)</f>
        <v>116432</v>
      </c>
      <c r="E37" s="57">
        <f>ROUND((E32*'Sensitivity Analysis(Bull)'!E9),0)</f>
        <v>136859</v>
      </c>
      <c r="F37" s="57">
        <f>ROUND((F32*'Sensitivity Analysis(Bull)'!F9),0)</f>
        <v>155362</v>
      </c>
      <c r="G37" s="57">
        <f>ROUND((G32*'Sensitivity Analysis(Bull)'!G9),0)</f>
        <v>169380</v>
      </c>
      <c r="H37" s="57">
        <f>ROUND((H32*'Sensitivity Analysis(Bull)'!H9),0)</f>
        <v>177849</v>
      </c>
      <c r="I37" s="57">
        <f>ROUND((I32*'Sensitivity Analysis(Bull)'!I9),0)</f>
        <v>185370</v>
      </c>
      <c r="J37" s="57">
        <f>ROUND((J32*'Sensitivity Analysis(Bull)'!J9),0)</f>
        <v>186470</v>
      </c>
      <c r="K37" s="57">
        <f>ROUND((K32*'Sensitivity Analysis(Bull)'!K9),0)</f>
        <v>189235</v>
      </c>
      <c r="L37" s="57">
        <f>ROUND((L32*'Sensitivity Analysis(Bull)'!L9),0)</f>
        <v>185731</v>
      </c>
      <c r="M37" s="57">
        <f>ROUND((M32*'Sensitivity Analysis(Bull)'!M9),0)</f>
        <v>183651</v>
      </c>
    </row>
    <row r="38" spans="1:23" s="16" customFormat="1" ht="20.100000000000001" customHeight="1">
      <c r="B38" s="84" t="s">
        <v>33</v>
      </c>
      <c r="C38" s="87">
        <f t="shared" ref="C38:M38" si="4">C35-C37</f>
        <v>-324535</v>
      </c>
      <c r="D38" s="58">
        <f t="shared" si="4"/>
        <v>-4085</v>
      </c>
      <c r="E38" s="58">
        <f t="shared" si="4"/>
        <v>19159.780000000028</v>
      </c>
      <c r="F38" s="58">
        <f t="shared" si="4"/>
        <v>49433.936200000055</v>
      </c>
      <c r="G38" s="58">
        <f t="shared" si="4"/>
        <v>86862.001526000036</v>
      </c>
      <c r="H38" s="58">
        <f t="shared" si="4"/>
        <v>127035.36178541998</v>
      </c>
      <c r="I38" s="58">
        <f t="shared" si="4"/>
        <v>167991.01243537886</v>
      </c>
      <c r="J38" s="58">
        <f t="shared" si="4"/>
        <v>212190.81380327058</v>
      </c>
      <c r="K38" s="58">
        <f t="shared" si="4"/>
        <v>245304.88704556494</v>
      </c>
      <c r="L38" s="58">
        <f t="shared" si="4"/>
        <v>274881.14026829891</v>
      </c>
      <c r="M38" s="58">
        <f t="shared" si="4"/>
        <v>290779.8344763479</v>
      </c>
    </row>
    <row r="39" spans="1:23" ht="11.1" customHeight="1">
      <c r="B39" s="64"/>
      <c r="C39" s="122"/>
      <c r="D39" s="122"/>
      <c r="E39" s="122"/>
      <c r="F39" s="122"/>
      <c r="G39" s="122"/>
      <c r="H39" s="122"/>
      <c r="I39" s="122"/>
      <c r="J39" s="122"/>
      <c r="K39" s="122"/>
      <c r="L39" s="122"/>
      <c r="M39" s="122"/>
    </row>
    <row r="40" spans="1:23" s="16" customFormat="1" ht="20.100000000000001" customHeight="1">
      <c r="B40" s="83" t="s">
        <v>34</v>
      </c>
      <c r="C40" s="51">
        <v>24340</v>
      </c>
      <c r="D40" s="57">
        <f>ROUND((D32*'Sensitivity Analysis(Bull)'!D10),0)</f>
        <v>30640</v>
      </c>
      <c r="E40" s="57">
        <f>ROUND((E32*'Sensitivity Analysis(Bull)'!E10),0)</f>
        <v>35583</v>
      </c>
      <c r="F40" s="57">
        <f>ROUND((F32*'Sensitivity Analysis(Bull)'!F10),0)</f>
        <v>42372</v>
      </c>
      <c r="G40" s="57">
        <f>ROUND((G32*'Sensitivity Analysis(Bull)'!G10),0)</f>
        <v>47774</v>
      </c>
      <c r="H40" s="57">
        <f>ROUND((H32*'Sensitivity Analysis(Bull)'!H10),0)</f>
        <v>50814</v>
      </c>
      <c r="I40" s="57">
        <f>ROUND((I32*'Sensitivity Analysis(Bull)'!I10),0)</f>
        <v>52135</v>
      </c>
      <c r="J40" s="57">
        <f>ROUND((J32*'Sensitivity Analysis(Bull)'!J10),0)</f>
        <v>57870</v>
      </c>
      <c r="K40" s="57">
        <f>ROUND((K32*'Sensitivity Analysis(Bull)'!K10),0)</f>
        <v>56070</v>
      </c>
      <c r="L40" s="57">
        <f>ROUND((L32*'Sensitivity Analysis(Bull)'!L10),0)</f>
        <v>59434</v>
      </c>
      <c r="M40" s="57">
        <f>ROUND((M32*'Sensitivity Analysis(Bull)'!M10),0)</f>
        <v>53565</v>
      </c>
    </row>
    <row r="41" spans="1:23" s="16" customFormat="1" ht="20.100000000000001" customHeight="1">
      <c r="B41" s="84" t="s">
        <v>35</v>
      </c>
      <c r="C41" s="87">
        <f t="shared" ref="C41:M41" si="5">C38-C40</f>
        <v>-348875</v>
      </c>
      <c r="D41" s="58">
        <f t="shared" si="5"/>
        <v>-34725</v>
      </c>
      <c r="E41" s="58">
        <f t="shared" si="5"/>
        <v>-16423.219999999972</v>
      </c>
      <c r="F41" s="58">
        <f t="shared" si="5"/>
        <v>7061.9362000000547</v>
      </c>
      <c r="G41" s="58">
        <f t="shared" si="5"/>
        <v>39088.001526000036</v>
      </c>
      <c r="H41" s="58">
        <f t="shared" si="5"/>
        <v>76221.361785419984</v>
      </c>
      <c r="I41" s="58">
        <f t="shared" si="5"/>
        <v>115856.01243537886</v>
      </c>
      <c r="J41" s="58">
        <f t="shared" si="5"/>
        <v>154320.81380327058</v>
      </c>
      <c r="K41" s="58">
        <f t="shared" si="5"/>
        <v>189234.88704556494</v>
      </c>
      <c r="L41" s="58">
        <f t="shared" si="5"/>
        <v>215447.14026829891</v>
      </c>
      <c r="M41" s="58">
        <f t="shared" si="5"/>
        <v>237214.8344763479</v>
      </c>
    </row>
    <row r="42" spans="1:23" s="16" customFormat="1" ht="20.100000000000001" customHeight="1">
      <c r="B42" s="88" t="s">
        <v>36</v>
      </c>
      <c r="C42" s="80">
        <v>0</v>
      </c>
      <c r="D42" s="59">
        <f>IF(C42+C41&lt;0,C42+C41,0)</f>
        <v>-348875</v>
      </c>
      <c r="E42" s="59">
        <f t="shared" ref="E42:M42" si="6">IF(D42+D41&lt;0,D42+D41,0)</f>
        <v>-383600</v>
      </c>
      <c r="F42" s="59">
        <f t="shared" si="6"/>
        <v>-400023.22</v>
      </c>
      <c r="G42" s="59">
        <f t="shared" si="6"/>
        <v>-392961.28379999992</v>
      </c>
      <c r="H42" s="59">
        <f t="shared" si="6"/>
        <v>-353873.28227399988</v>
      </c>
      <c r="I42" s="59">
        <f t="shared" si="6"/>
        <v>-277651.9204885799</v>
      </c>
      <c r="J42" s="59">
        <f t="shared" si="6"/>
        <v>-161795.90805320104</v>
      </c>
      <c r="K42" s="59">
        <f t="shared" si="6"/>
        <v>-7475.0942499304656</v>
      </c>
      <c r="L42" s="59">
        <f t="shared" si="6"/>
        <v>0</v>
      </c>
      <c r="M42" s="59">
        <f t="shared" si="6"/>
        <v>0</v>
      </c>
      <c r="O42" s="52"/>
      <c r="P42" s="52"/>
      <c r="Q42" s="52"/>
      <c r="R42" s="52"/>
      <c r="S42" s="52"/>
      <c r="T42" s="52"/>
      <c r="U42" s="52"/>
      <c r="V42" s="52"/>
      <c r="W42" s="52"/>
    </row>
    <row r="43" spans="1:23" s="16" customFormat="1" ht="20.100000000000001" customHeight="1">
      <c r="B43" s="88" t="s">
        <v>37</v>
      </c>
      <c r="C43" s="89">
        <f t="shared" ref="C43:M43" si="7">IF(SUM(C41:C42)&lt;0,0,SUM(C41:C42))</f>
        <v>0</v>
      </c>
      <c r="D43" s="59">
        <f t="shared" si="7"/>
        <v>0</v>
      </c>
      <c r="E43" s="59">
        <f t="shared" si="7"/>
        <v>0</v>
      </c>
      <c r="F43" s="59">
        <f t="shared" si="7"/>
        <v>0</v>
      </c>
      <c r="G43" s="59">
        <f t="shared" si="7"/>
        <v>0</v>
      </c>
      <c r="H43" s="59">
        <f t="shared" si="7"/>
        <v>0</v>
      </c>
      <c r="I43" s="59">
        <f t="shared" si="7"/>
        <v>0</v>
      </c>
      <c r="J43" s="59">
        <f t="shared" si="7"/>
        <v>0</v>
      </c>
      <c r="K43" s="59">
        <f t="shared" si="7"/>
        <v>181759.79279563448</v>
      </c>
      <c r="L43" s="59">
        <f t="shared" si="7"/>
        <v>215447.14026829891</v>
      </c>
      <c r="M43" s="59">
        <f t="shared" si="7"/>
        <v>237214.8344763479</v>
      </c>
      <c r="O43" s="52"/>
      <c r="P43" s="113"/>
      <c r="Q43" s="52"/>
      <c r="R43" s="52"/>
      <c r="S43" s="52"/>
      <c r="T43" s="52"/>
      <c r="U43" s="52"/>
      <c r="V43" s="52"/>
      <c r="W43" s="52"/>
    </row>
    <row r="44" spans="1:23" s="16" customFormat="1" ht="11.1" customHeight="1">
      <c r="A44" s="52"/>
      <c r="B44" s="65"/>
      <c r="C44" s="56"/>
      <c r="D44" s="56"/>
      <c r="E44" s="56"/>
      <c r="F44" s="56"/>
      <c r="G44" s="56"/>
      <c r="H44" s="56"/>
      <c r="I44" s="56"/>
      <c r="J44" s="56"/>
      <c r="K44" s="56"/>
      <c r="L44" s="56"/>
      <c r="M44" s="56"/>
      <c r="N44" s="52"/>
      <c r="O44" s="52"/>
      <c r="P44" s="52"/>
      <c r="Q44" s="52"/>
      <c r="R44" s="52"/>
      <c r="S44" s="52"/>
      <c r="T44" s="52"/>
      <c r="U44" s="52"/>
      <c r="V44" s="52"/>
      <c r="W44" s="52"/>
    </row>
    <row r="45" spans="1:23" s="16" customFormat="1" ht="20.100000000000001" customHeight="1">
      <c r="B45" s="83" t="s">
        <v>38</v>
      </c>
      <c r="C45" s="85">
        <v>299222</v>
      </c>
      <c r="D45" s="57">
        <f>D43*'Sensitivity Analysis(Bull)'!$C$14</f>
        <v>0</v>
      </c>
      <c r="E45" s="57">
        <f>E43*'Sensitivity Analysis(Bull)'!$C$14</f>
        <v>0</v>
      </c>
      <c r="F45" s="57">
        <f>F43*'Sensitivity Analysis(Bull)'!$C$14</f>
        <v>0</v>
      </c>
      <c r="G45" s="57">
        <f>G43*'Sensitivity Analysis(Bull)'!$C$14</f>
        <v>0</v>
      </c>
      <c r="H45" s="57">
        <f>H43*'Sensitivity Analysis(Bull)'!$C$14</f>
        <v>0</v>
      </c>
      <c r="I45" s="57">
        <f>I43*'Sensitivity Analysis(Bull)'!$C$14</f>
        <v>0</v>
      </c>
      <c r="J45" s="57">
        <f>J43*'Sensitivity Analysis(Bull)'!$C$14</f>
        <v>0</v>
      </c>
      <c r="K45" s="57">
        <f>K43*'Sensitivity Analysis(Bull)'!$C$14</f>
        <v>38169.556487083239</v>
      </c>
      <c r="L45" s="57">
        <f>L43*'Sensitivity Analysis(Bull)'!$C$14</f>
        <v>45243.89945634277</v>
      </c>
      <c r="M45" s="57">
        <f>M43*'Sensitivity Analysis(Bull)'!$C$14</f>
        <v>49815.115240033054</v>
      </c>
    </row>
    <row r="46" spans="1:23" s="16" customFormat="1" ht="20.100000000000001" customHeight="1">
      <c r="B46" s="84" t="s">
        <v>39</v>
      </c>
      <c r="C46" s="90">
        <f t="shared" ref="C46:M46" si="8">C41-C45</f>
        <v>-648097</v>
      </c>
      <c r="D46" s="58">
        <f t="shared" si="8"/>
        <v>-34725</v>
      </c>
      <c r="E46" s="58">
        <f t="shared" si="8"/>
        <v>-16423.219999999972</v>
      </c>
      <c r="F46" s="58">
        <f t="shared" si="8"/>
        <v>7061.9362000000547</v>
      </c>
      <c r="G46" s="58">
        <f t="shared" si="8"/>
        <v>39088.001526000036</v>
      </c>
      <c r="H46" s="58">
        <f t="shared" si="8"/>
        <v>76221.361785419984</v>
      </c>
      <c r="I46" s="58">
        <f t="shared" si="8"/>
        <v>115856.01243537886</v>
      </c>
      <c r="J46" s="58">
        <f t="shared" si="8"/>
        <v>154320.81380327058</v>
      </c>
      <c r="K46" s="58">
        <f t="shared" si="8"/>
        <v>151065.33055848171</v>
      </c>
      <c r="L46" s="58">
        <f t="shared" si="8"/>
        <v>170203.24081195614</v>
      </c>
      <c r="M46" s="58">
        <f t="shared" si="8"/>
        <v>187399.71923631485</v>
      </c>
    </row>
    <row r="47" spans="1:23" ht="11.1" customHeight="1">
      <c r="B47" s="64"/>
      <c r="C47" s="2"/>
      <c r="D47" s="2"/>
      <c r="E47" s="2"/>
      <c r="F47" s="2"/>
      <c r="G47" s="2"/>
      <c r="H47" s="2"/>
      <c r="I47" s="2"/>
      <c r="J47" s="2"/>
      <c r="K47" s="2"/>
      <c r="L47" s="2"/>
      <c r="M47" s="2"/>
    </row>
    <row r="48" spans="1:23" s="16" customFormat="1" ht="20.100000000000001" customHeight="1">
      <c r="B48" s="83" t="s">
        <v>40</v>
      </c>
      <c r="C48" s="85">
        <f t="shared" ref="C48:M48" si="9">C40</f>
        <v>24340</v>
      </c>
      <c r="D48" s="57">
        <f t="shared" si="9"/>
        <v>30640</v>
      </c>
      <c r="E48" s="57">
        <f t="shared" si="9"/>
        <v>35583</v>
      </c>
      <c r="F48" s="57">
        <f t="shared" si="9"/>
        <v>42372</v>
      </c>
      <c r="G48" s="57">
        <f t="shared" si="9"/>
        <v>47774</v>
      </c>
      <c r="H48" s="57">
        <f t="shared" si="9"/>
        <v>50814</v>
      </c>
      <c r="I48" s="57">
        <f t="shared" si="9"/>
        <v>52135</v>
      </c>
      <c r="J48" s="57">
        <f t="shared" si="9"/>
        <v>57870</v>
      </c>
      <c r="K48" s="57">
        <f t="shared" si="9"/>
        <v>56070</v>
      </c>
      <c r="L48" s="57">
        <f t="shared" si="9"/>
        <v>59434</v>
      </c>
      <c r="M48" s="57">
        <f t="shared" si="9"/>
        <v>53565</v>
      </c>
    </row>
    <row r="49" spans="1:14" s="16" customFormat="1" ht="20.100000000000001" customHeight="1">
      <c r="B49" s="86" t="s">
        <v>41</v>
      </c>
      <c r="C49" s="81">
        <v>-3733</v>
      </c>
      <c r="D49" s="57">
        <f>C49*(1+'Sensitivity Analysis(Bull)'!D11)</f>
        <v>-4068.9700000000003</v>
      </c>
      <c r="E49" s="57">
        <f>D49*(1+'Sensitivity Analysis(Bull)'!E11)</f>
        <v>-4435.1773000000003</v>
      </c>
      <c r="F49" s="57">
        <f>E49*(1+'Sensitivity Analysis(Bull)'!F11)</f>
        <v>-4745.6397110000007</v>
      </c>
      <c r="G49" s="57">
        <f>F49*(1+'Sensitivity Analysis(Bull)'!G11)</f>
        <v>-4982.9216965500009</v>
      </c>
      <c r="H49" s="57">
        <f>G49*(1+'Sensitivity Analysis(Bull)'!H11)</f>
        <v>-5182.2385644120013</v>
      </c>
      <c r="I49" s="57">
        <f>H49*(1+'Sensitivity Analysis(Bull)'!I11)</f>
        <v>-5337.7057213443613</v>
      </c>
      <c r="J49" s="57">
        <f>I49*(1+'Sensitivity Analysis(Bull)'!J11)</f>
        <v>-5497.836892984692</v>
      </c>
      <c r="K49" s="57">
        <f>J49*(1+'Sensitivity Analysis(Bull)'!K11)</f>
        <v>-5662.7719997742333</v>
      </c>
      <c r="L49" s="57">
        <f>K49*(1+'Sensitivity Analysis(Bull)'!L11)</f>
        <v>-5832.6551597674606</v>
      </c>
      <c r="M49" s="57">
        <f>L49*(1+'Sensitivity Analysis(Bull)'!M11)</f>
        <v>-6007.6348145604843</v>
      </c>
    </row>
    <row r="50" spans="1:14" s="16" customFormat="1" ht="20.100000000000001" customHeight="1">
      <c r="B50" s="86" t="s">
        <v>42</v>
      </c>
      <c r="C50" s="60"/>
      <c r="D50" s="57">
        <f>(D32-C32)*'Sensitivity Analysis(Bull)'!D12</f>
        <v>1750.86</v>
      </c>
      <c r="E50" s="57">
        <f>(E32-D32)*'Sensitivity Analysis(Bull)'!E12</f>
        <v>4167.0468000000019</v>
      </c>
      <c r="F50" s="57">
        <f>(F32-E32)*'Sensitivity Analysis(Bull)'!F12</f>
        <v>6350.2524960000019</v>
      </c>
      <c r="G50" s="57">
        <f>(G32-F32)*'Sensitivity Analysis(Bull)'!G12</f>
        <v>8121.2065325999984</v>
      </c>
      <c r="H50" s="57">
        <f>(H32-G32)*'Sensitivity Analysis(Bull)'!H12</f>
        <v>9598.2068337245928</v>
      </c>
      <c r="I50" s="57">
        <f>(I32-H32)*'Sensitivity Analysis(Bull)'!I12</f>
        <v>9248.154584494654</v>
      </c>
      <c r="J50" s="57">
        <f>(J32-I32)*'Sensitivity Analysis(Bull)'!J12</f>
        <v>8283.7041778259245</v>
      </c>
      <c r="K50" s="57">
        <f>(K32-J32)*'Sensitivity Analysis(Bull)'!K12</f>
        <v>7523.1095214982679</v>
      </c>
      <c r="L50" s="57">
        <f>(L32-K32)*'Sensitivity Analysis(Bull)'!L12</f>
        <v>5466.7929189554161</v>
      </c>
      <c r="M50" s="57">
        <f>(M32-L32)*'Sensitivity Analysis(Bull)'!M12</f>
        <v>2897.4002470463679</v>
      </c>
    </row>
    <row r="51" spans="1:14" s="16" customFormat="1" ht="20.100000000000001" customHeight="1">
      <c r="A51" s="53"/>
      <c r="B51" s="84" t="s">
        <v>43</v>
      </c>
      <c r="C51" s="91">
        <f>SUM(C46:C50)</f>
        <v>-627490</v>
      </c>
      <c r="D51" s="54">
        <f t="shared" ref="D51:L51" si="10">SUM(D46:D50)</f>
        <v>-6403.1100000000006</v>
      </c>
      <c r="E51" s="54">
        <f t="shared" si="10"/>
        <v>18891.649500000029</v>
      </c>
      <c r="F51" s="54">
        <f t="shared" si="10"/>
        <v>51038.548985000052</v>
      </c>
      <c r="G51" s="54">
        <f t="shared" si="10"/>
        <v>90000.286362050043</v>
      </c>
      <c r="H51" s="54">
        <f t="shared" si="10"/>
        <v>131451.33005473256</v>
      </c>
      <c r="I51" s="54">
        <f>SUM(I46:I50)</f>
        <v>171901.46129852915</v>
      </c>
      <c r="J51" s="54">
        <f t="shared" si="10"/>
        <v>214976.6810881118</v>
      </c>
      <c r="K51" s="54">
        <f t="shared" si="10"/>
        <v>208995.66808020574</v>
      </c>
      <c r="L51" s="54">
        <f t="shared" si="10"/>
        <v>229271.3785711441</v>
      </c>
      <c r="M51" s="54">
        <f>ROUND((SUM(M46:M50)),0)</f>
        <v>237854</v>
      </c>
      <c r="N51" s="53"/>
    </row>
    <row r="52" spans="1:14">
      <c r="B52" s="2"/>
      <c r="C52" s="3"/>
      <c r="D52" s="3"/>
      <c r="E52" s="3"/>
      <c r="F52" s="3"/>
      <c r="G52" s="3"/>
      <c r="H52" s="3"/>
      <c r="I52" s="3"/>
      <c r="J52" s="3"/>
      <c r="K52" s="3"/>
      <c r="L52" s="3"/>
      <c r="M52" s="3"/>
    </row>
    <row r="53" spans="1:14" ht="25.35" customHeight="1" thickBot="1">
      <c r="B53" s="15" t="s">
        <v>44</v>
      </c>
      <c r="D53" s="3"/>
      <c r="E53" s="3"/>
      <c r="F53" s="3"/>
      <c r="G53" s="3"/>
      <c r="H53" s="3"/>
      <c r="I53" s="3"/>
      <c r="J53" s="3"/>
      <c r="K53" s="48" t="s">
        <v>44</v>
      </c>
      <c r="L53" s="49">
        <f>M6</f>
        <v>2035</v>
      </c>
      <c r="M53" s="61">
        <f>ROUND(((M51*(1+'Sensitivity Analysis(Bull)'!C15))/('Sensitivity Analysis(Bull)'!C16-'Sensitivity Analysis(Bull)'!C15)),0)</f>
        <v>2010024</v>
      </c>
    </row>
    <row r="54" spans="1:14">
      <c r="B54" s="2"/>
      <c r="C54" s="2"/>
      <c r="D54" s="2"/>
      <c r="E54" s="2"/>
      <c r="F54" s="2"/>
      <c r="G54" s="2"/>
      <c r="H54" s="2"/>
      <c r="I54" s="2"/>
      <c r="J54" s="2"/>
      <c r="K54" s="2"/>
      <c r="L54" s="2"/>
      <c r="M54" s="2"/>
    </row>
    <row r="55" spans="1:14" s="16" customFormat="1" ht="25.35" customHeight="1" thickBot="1">
      <c r="B55" s="67" t="s">
        <v>45</v>
      </c>
      <c r="C55" s="66">
        <f>C16</f>
        <v>0.14070057402861466</v>
      </c>
      <c r="D55" s="62">
        <f>ROUND((D51/((1+'Sensitivity Analysis(Bull)'!$C$16)^(D30-C30))),0)</f>
        <v>-5613</v>
      </c>
      <c r="E55" s="62">
        <f>ROUND((E51/((1+'Sensitivity Analysis(Bull)'!$C$16)^(E30-C30))),0)</f>
        <v>14519</v>
      </c>
      <c r="F55" s="62">
        <f>ROUND((F51/((1+'Sensitivity Analysis(Bull)'!$C$16)^(F30-C30))),0)</f>
        <v>34386</v>
      </c>
      <c r="G55" s="62">
        <f>ROUND((G51/((1+'Sensitivity Analysis(Bull)'!$C$16)^(G30-C30))),0)</f>
        <v>53157</v>
      </c>
      <c r="H55" s="62">
        <f>ROUND((H51/((1+'Sensitivity Analysis(Bull)'!$C$16)^(H30-C30))),0)</f>
        <v>68062</v>
      </c>
      <c r="I55" s="62">
        <f>ROUND((I51/((1+'Sensitivity Analysis(Bull)'!$C$16)^(I30-C30))),0)</f>
        <v>78028</v>
      </c>
      <c r="J55" s="62">
        <f>ROUND((J51/((1+'Sensitivity Analysis(Bull)'!$C$16)^(J30-C30))),0)</f>
        <v>85544</v>
      </c>
      <c r="K55" s="62">
        <f>ROUND((K51/((1+'Sensitivity Analysis(Bull)'!$C$16)^(K30-C30))),0)</f>
        <v>72906</v>
      </c>
      <c r="L55" s="62">
        <f>ROUND((L51/((1+'Sensitivity Analysis(Bull)'!$C$16)^(L30-C30))),0)</f>
        <v>70114</v>
      </c>
      <c r="M55" s="62">
        <f>ROUND(((M51+M53)/((1+'Sensitivity Analysis(Bull)'!$C$16)^(M30-C30))),0)</f>
        <v>602637</v>
      </c>
    </row>
    <row r="56" spans="1:14" ht="11.1" customHeight="1">
      <c r="B56" s="13"/>
      <c r="C56" s="2"/>
      <c r="D56" s="2"/>
      <c r="E56" s="2"/>
      <c r="F56" s="2"/>
      <c r="G56" s="2"/>
      <c r="H56" s="2"/>
      <c r="I56" s="2"/>
      <c r="J56" s="2"/>
      <c r="K56" s="2"/>
      <c r="L56" s="2"/>
      <c r="M56" s="2"/>
    </row>
    <row r="57" spans="1:14" ht="25.35" customHeight="1">
      <c r="B57" s="68" t="s">
        <v>46</v>
      </c>
      <c r="C57" s="91">
        <f>SUM(D55:M55)</f>
        <v>1073740</v>
      </c>
      <c r="D57" s="2"/>
      <c r="E57" s="2"/>
      <c r="F57" s="2"/>
      <c r="G57" s="2"/>
      <c r="H57" s="2"/>
      <c r="I57" s="2"/>
      <c r="J57" s="2"/>
      <c r="K57" s="2"/>
      <c r="L57" s="2"/>
      <c r="M57" s="2"/>
    </row>
    <row r="58" spans="1:14" ht="25.35" customHeight="1">
      <c r="B58" s="69" t="s">
        <v>47</v>
      </c>
      <c r="C58" s="51">
        <v>151302</v>
      </c>
      <c r="D58" s="131" t="s">
        <v>48</v>
      </c>
      <c r="E58" s="94"/>
      <c r="F58" s="2"/>
      <c r="G58" s="2"/>
      <c r="H58" s="2"/>
      <c r="I58" s="2"/>
      <c r="J58" s="2"/>
      <c r="K58" s="2"/>
      <c r="L58" s="2"/>
      <c r="M58" s="2"/>
    </row>
    <row r="59" spans="1:14" ht="25.35" customHeight="1">
      <c r="B59" s="69" t="s">
        <v>49</v>
      </c>
      <c r="C59" s="51">
        <v>122976</v>
      </c>
      <c r="D59" s="131"/>
      <c r="E59" s="94"/>
      <c r="F59" s="2"/>
      <c r="G59" s="2"/>
      <c r="H59" s="2"/>
      <c r="I59" s="2"/>
      <c r="J59" s="2"/>
      <c r="K59" s="2"/>
      <c r="L59" s="2"/>
      <c r="M59" s="2"/>
    </row>
    <row r="60" spans="1:14" ht="25.35" customHeight="1">
      <c r="B60" s="69" t="s">
        <v>50</v>
      </c>
      <c r="C60" s="51">
        <v>-28596</v>
      </c>
      <c r="D60" s="131"/>
      <c r="E60" s="94"/>
      <c r="F60" s="2"/>
      <c r="G60" s="2"/>
      <c r="H60" s="2"/>
      <c r="I60" s="2"/>
      <c r="J60" s="2"/>
      <c r="K60" s="2"/>
      <c r="L60" s="2"/>
      <c r="M60" s="2"/>
    </row>
    <row r="61" spans="1:14" ht="25.35" customHeight="1">
      <c r="B61" s="69" t="s">
        <v>51</v>
      </c>
      <c r="C61" s="51">
        <v>0</v>
      </c>
      <c r="D61" s="131"/>
      <c r="E61" s="94"/>
      <c r="F61" s="2"/>
      <c r="G61" s="2"/>
      <c r="H61" s="2"/>
      <c r="I61" s="2"/>
      <c r="J61" s="2"/>
      <c r="K61" s="2"/>
      <c r="L61" s="2"/>
      <c r="M61" s="2"/>
    </row>
    <row r="62" spans="1:14" ht="11.1" customHeight="1">
      <c r="B62" s="70"/>
      <c r="C62" s="2"/>
      <c r="D62" s="10"/>
      <c r="E62" s="2"/>
      <c r="F62" s="2"/>
      <c r="G62" s="2"/>
      <c r="H62" s="2"/>
      <c r="I62" s="2"/>
      <c r="J62" s="2"/>
      <c r="K62" s="2"/>
      <c r="L62" s="2"/>
      <c r="M62" s="2"/>
    </row>
    <row r="63" spans="1:14" ht="25.35" customHeight="1" thickBot="1">
      <c r="B63" s="68" t="s">
        <v>52</v>
      </c>
      <c r="C63" s="61">
        <f>C57+C58-C59-C60-C61</f>
        <v>1130662</v>
      </c>
      <c r="D63" s="10"/>
      <c r="E63" s="2"/>
      <c r="F63" s="2"/>
      <c r="G63" s="2"/>
      <c r="H63" s="2"/>
      <c r="I63" s="2"/>
      <c r="J63" s="2"/>
      <c r="K63" s="2"/>
      <c r="L63" s="2"/>
      <c r="M63" s="2"/>
    </row>
    <row r="64" spans="1:14" ht="26.45" customHeight="1">
      <c r="B64" s="69" t="s">
        <v>53</v>
      </c>
      <c r="C64" s="51">
        <v>157843</v>
      </c>
      <c r="D64" s="2"/>
      <c r="E64" s="2"/>
      <c r="F64" s="1"/>
    </row>
    <row r="65" spans="2:13" ht="25.35" customHeight="1" thickBot="1">
      <c r="B65" s="68" t="s">
        <v>54</v>
      </c>
      <c r="C65" s="105">
        <f>C63/C64</f>
        <v>7.1632064773224027</v>
      </c>
      <c r="D65" s="10"/>
      <c r="E65" s="2"/>
      <c r="F65" s="2"/>
      <c r="G65" s="2"/>
      <c r="H65" s="2"/>
      <c r="I65" s="2"/>
      <c r="J65" s="2"/>
      <c r="K65" s="2"/>
      <c r="L65" s="2"/>
      <c r="M65" s="2"/>
    </row>
    <row r="67" spans="2:13" ht="25.35" customHeight="1">
      <c r="B67" s="107" t="s">
        <v>55</v>
      </c>
      <c r="C67" s="106">
        <f ca="1">F3</f>
        <v>6.24</v>
      </c>
      <c r="D67" s="2"/>
      <c r="E67" s="2"/>
      <c r="F67" s="2"/>
      <c r="G67" s="2"/>
      <c r="H67" s="2"/>
      <c r="I67" s="2"/>
      <c r="J67" s="2"/>
      <c r="K67" s="2"/>
      <c r="L67" s="2"/>
      <c r="M67" s="2"/>
    </row>
    <row r="68" spans="2:13" ht="25.35" customHeight="1" thickBot="1">
      <c r="B68" s="68" t="s">
        <v>56</v>
      </c>
      <c r="C68" s="108" t="str">
        <f ca="1">IF(C67&gt;C65,"OVERVALUED","UNDERVALUED")</f>
        <v>UNDERVALUED</v>
      </c>
      <c r="D68" s="10"/>
      <c r="E68" s="2"/>
      <c r="F68" s="2"/>
      <c r="G68" s="2"/>
      <c r="H68" s="2"/>
      <c r="I68" s="2"/>
      <c r="J68" s="2"/>
      <c r="K68" s="2"/>
      <c r="L68" s="2"/>
      <c r="M68" s="2"/>
    </row>
  </sheetData>
  <mergeCells count="1">
    <mergeCell ref="D58:D61"/>
  </mergeCells>
  <conditionalFormatting sqref="C68">
    <cfRule type="containsText" dxfId="3" priority="1" operator="containsText" text="UNDERVALUED">
      <formula>NOT(ISERROR(SEARCH("UNDERVALUED",C68)))</formula>
    </cfRule>
    <cfRule type="containsText" dxfId="2" priority="2" operator="containsText" text="OVERVALUED">
      <formula>NOT(ISERROR(SEARCH("OVERVALUED",C68)))</formula>
    </cfRule>
  </conditionalFormatting>
  <pageMargins left="0.3" right="0.3" top="0.3" bottom="0.3" header="0" footer="0"/>
  <pageSetup scale="58" fitToHeight="0" orientation="landscape" horizontalDpi="0" verticalDpi="0"/>
  <rowBreaks count="1" manualBreakCount="1">
    <brk id="5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5786C-6D4E-B64E-AB2F-411309363197}">
  <sheetPr>
    <tabColor theme="3" tint="0.59999389629810485"/>
    <outlinePr summaryBelow="0"/>
    <pageSetUpPr fitToPage="1"/>
  </sheetPr>
  <dimension ref="A1:AI68"/>
  <sheetViews>
    <sheetView showGridLines="0" zoomScale="75" zoomScaleNormal="70" workbookViewId="0">
      <selection activeCell="R19" sqref="R19"/>
    </sheetView>
  </sheetViews>
  <sheetFormatPr defaultColWidth="8.85546875" defaultRowHeight="15"/>
  <cols>
    <col min="1" max="1" width="3" customWidth="1"/>
    <col min="2" max="2" width="58.85546875" customWidth="1"/>
    <col min="3" max="3" width="14.85546875" customWidth="1"/>
    <col min="4" max="4" width="16.85546875" bestFit="1" customWidth="1"/>
    <col min="5" max="5" width="20.28515625" customWidth="1"/>
    <col min="6" max="13" width="14.85546875" customWidth="1"/>
    <col min="14" max="14" width="3.28515625" customWidth="1"/>
  </cols>
  <sheetData>
    <row r="1" spans="2:13" s="7" customFormat="1" ht="42" customHeight="1">
      <c r="B1" s="8" t="s">
        <v>0</v>
      </c>
      <c r="F1" s="128"/>
    </row>
    <row r="2" spans="2:13" s="7" customFormat="1" thickBot="1">
      <c r="B2" s="25" t="s">
        <v>1</v>
      </c>
      <c r="C2" s="26" t="s">
        <v>2</v>
      </c>
      <c r="D2" s="26" t="s">
        <v>3</v>
      </c>
      <c r="E2" s="26" t="s">
        <v>4</v>
      </c>
      <c r="F2" s="26" t="s">
        <v>5</v>
      </c>
    </row>
    <row r="3" spans="2:13" s="7" customFormat="1" ht="42" customHeight="1" thickTop="1" thickBot="1">
      <c r="B3" s="23" t="str" cm="1">
        <f t="array" aca="1" ref="B3" ca="1">_FV(E3,"Name")</f>
        <v>EVOLV TECHNOLOGIES HOLDINGS, INC.</v>
      </c>
      <c r="C3" s="24">
        <v>2026</v>
      </c>
      <c r="D3" s="24" t="s">
        <v>6</v>
      </c>
      <c r="E3" s="24" t="e" vm="2">
        <v>#VALUE!</v>
      </c>
      <c r="F3" s="109" cm="1">
        <f t="array" aca="1" ref="F3" ca="1">_FV(E3,"Price")</f>
        <v>6.24</v>
      </c>
    </row>
    <row r="4" spans="2:13" ht="20.100000000000001" customHeight="1">
      <c r="B4" s="4" t="s">
        <v>7</v>
      </c>
      <c r="C4" s="5"/>
      <c r="D4" s="5"/>
      <c r="E4" s="5"/>
      <c r="F4" s="1"/>
    </row>
    <row r="5" spans="2:13" ht="21.95" thickBot="1">
      <c r="B5" s="14" t="s">
        <v>8</v>
      </c>
      <c r="C5" s="12"/>
      <c r="D5" s="12"/>
      <c r="E5" s="12"/>
      <c r="F5" s="12"/>
      <c r="G5" s="12"/>
      <c r="H5" s="12"/>
      <c r="I5" s="12"/>
      <c r="J5" s="12"/>
      <c r="K5" s="12"/>
      <c r="L5" s="12"/>
      <c r="M5" s="12"/>
    </row>
    <row r="6" spans="2:13" s="16" customFormat="1" ht="25.35" customHeight="1" thickTop="1" thickBot="1">
      <c r="B6" s="23" t="s">
        <v>9</v>
      </c>
      <c r="C6" s="21"/>
      <c r="D6" s="32">
        <f>C3</f>
        <v>2026</v>
      </c>
      <c r="E6" s="22">
        <f t="shared" ref="E6:M6" si="0">D6+1</f>
        <v>2027</v>
      </c>
      <c r="F6" s="22">
        <f t="shared" si="0"/>
        <v>2028</v>
      </c>
      <c r="G6" s="22">
        <f t="shared" si="0"/>
        <v>2029</v>
      </c>
      <c r="H6" s="22">
        <f t="shared" si="0"/>
        <v>2030</v>
      </c>
      <c r="I6" s="22">
        <f t="shared" si="0"/>
        <v>2031</v>
      </c>
      <c r="J6" s="22">
        <f t="shared" si="0"/>
        <v>2032</v>
      </c>
      <c r="K6" s="22">
        <f t="shared" si="0"/>
        <v>2033</v>
      </c>
      <c r="L6" s="22">
        <f t="shared" si="0"/>
        <v>2034</v>
      </c>
      <c r="M6" s="22">
        <f t="shared" si="0"/>
        <v>2035</v>
      </c>
    </row>
    <row r="7" spans="2:13" s="16" customFormat="1" ht="20.100000000000001" customHeight="1">
      <c r="B7" s="71" t="s">
        <v>10</v>
      </c>
      <c r="C7" s="72"/>
      <c r="D7" s="114">
        <v>0.3</v>
      </c>
      <c r="E7" s="115">
        <v>0.26</v>
      </c>
      <c r="F7" s="115">
        <v>0.21</v>
      </c>
      <c r="G7" s="115">
        <v>0.17</v>
      </c>
      <c r="H7" s="115">
        <v>0.13</v>
      </c>
      <c r="I7" s="115">
        <v>0.1</v>
      </c>
      <c r="J7" s="115">
        <v>0.09</v>
      </c>
      <c r="K7" s="115">
        <v>7.0000000000000007E-2</v>
      </c>
      <c r="L7" s="115">
        <v>0.04</v>
      </c>
      <c r="M7" s="115">
        <v>0.03</v>
      </c>
    </row>
    <row r="8" spans="2:13" s="16" customFormat="1" ht="20.100000000000001" customHeight="1">
      <c r="B8" s="73" t="s">
        <v>11</v>
      </c>
      <c r="C8" s="74"/>
      <c r="D8" s="19">
        <v>0.51</v>
      </c>
      <c r="E8" s="19">
        <v>0.53</v>
      </c>
      <c r="F8" s="19">
        <v>0.54</v>
      </c>
      <c r="G8" s="20">
        <v>0.55000000000000004</v>
      </c>
      <c r="H8" s="20">
        <v>0.56000000000000005</v>
      </c>
      <c r="I8" s="20">
        <v>0.56999999999999995</v>
      </c>
      <c r="J8" s="20">
        <v>0.57999999999999996</v>
      </c>
      <c r="K8" s="20">
        <v>0.57999999999999996</v>
      </c>
      <c r="L8" s="20">
        <v>0.57999999999999996</v>
      </c>
      <c r="M8" s="20">
        <v>0.57999999999999996</v>
      </c>
    </row>
    <row r="9" spans="2:13" s="16" customFormat="1" ht="20.100000000000001" customHeight="1">
      <c r="B9" s="73" t="s">
        <v>12</v>
      </c>
      <c r="C9" s="74"/>
      <c r="D9" s="19">
        <v>0.63</v>
      </c>
      <c r="E9" s="19">
        <v>0.56000000000000005</v>
      </c>
      <c r="F9" s="19">
        <v>0.5</v>
      </c>
      <c r="G9" s="19">
        <v>0.45</v>
      </c>
      <c r="H9" s="19">
        <v>0.41</v>
      </c>
      <c r="I9" s="19">
        <v>0.38</v>
      </c>
      <c r="J9" s="19">
        <v>0.35</v>
      </c>
      <c r="K9" s="19">
        <v>0.33</v>
      </c>
      <c r="L9" s="19">
        <v>0.31</v>
      </c>
      <c r="M9" s="19">
        <v>0.3</v>
      </c>
    </row>
    <row r="10" spans="2:13" s="16" customFormat="1" ht="20.100000000000001" customHeight="1">
      <c r="B10" s="73" t="s">
        <v>13</v>
      </c>
      <c r="C10" s="74"/>
      <c r="D10" s="116">
        <v>0.17</v>
      </c>
      <c r="E10" s="116">
        <v>0.15</v>
      </c>
      <c r="F10" s="116">
        <v>0.14000000000000001</v>
      </c>
      <c r="G10" s="116">
        <v>0.13</v>
      </c>
      <c r="H10" s="116">
        <v>0.12</v>
      </c>
      <c r="I10" s="116">
        <v>0.11</v>
      </c>
      <c r="J10" s="116">
        <v>0.11</v>
      </c>
      <c r="K10" s="116">
        <v>0.1</v>
      </c>
      <c r="L10" s="116">
        <v>0.1</v>
      </c>
      <c r="M10" s="116">
        <v>0.09</v>
      </c>
    </row>
    <row r="11" spans="2:13" s="16" customFormat="1" ht="20.100000000000001" customHeight="1">
      <c r="B11" s="73" t="s">
        <v>14</v>
      </c>
      <c r="C11" s="74"/>
      <c r="D11" s="116">
        <v>0.12</v>
      </c>
      <c r="E11" s="116">
        <v>0.12</v>
      </c>
      <c r="F11" s="116">
        <v>0.1</v>
      </c>
      <c r="G11" s="116">
        <v>7.0000000000000007E-2</v>
      </c>
      <c r="H11" s="116">
        <v>0.06</v>
      </c>
      <c r="I11" s="116">
        <v>0.05</v>
      </c>
      <c r="J11" s="116">
        <v>0.04</v>
      </c>
      <c r="K11" s="116">
        <v>0.04</v>
      </c>
      <c r="L11" s="116">
        <v>0.04</v>
      </c>
      <c r="M11" s="116">
        <v>0.04</v>
      </c>
    </row>
    <row r="12" spans="2:13" s="16" customFormat="1" ht="20.100000000000001" customHeight="1">
      <c r="B12" s="73" t="s">
        <v>15</v>
      </c>
      <c r="C12" s="74"/>
      <c r="D12" s="116">
        <v>7.0000000000000007E-2</v>
      </c>
      <c r="E12" s="117">
        <v>0.1</v>
      </c>
      <c r="F12" s="117">
        <v>0.12</v>
      </c>
      <c r="G12" s="117">
        <v>0.14000000000000001</v>
      </c>
      <c r="H12" s="117">
        <v>0.17</v>
      </c>
      <c r="I12" s="117">
        <v>0.17</v>
      </c>
      <c r="J12" s="117">
        <v>0.17</v>
      </c>
      <c r="K12" s="117">
        <v>0.17</v>
      </c>
      <c r="L12" s="117">
        <v>0.17</v>
      </c>
      <c r="M12" s="117">
        <v>0.17</v>
      </c>
    </row>
    <row r="13" spans="2:13" s="16" customFormat="1" ht="18" customHeight="1">
      <c r="B13" s="17"/>
      <c r="C13" s="18"/>
      <c r="D13" s="118"/>
      <c r="E13" s="118"/>
      <c r="F13" s="118"/>
      <c r="G13" s="118"/>
      <c r="H13" s="118"/>
      <c r="I13" s="118"/>
      <c r="J13" s="118"/>
      <c r="K13" s="118"/>
      <c r="L13" s="118"/>
      <c r="M13" s="118"/>
    </row>
    <row r="14" spans="2:13" s="16" customFormat="1" ht="20.100000000000001" customHeight="1">
      <c r="B14" s="75" t="s">
        <v>16</v>
      </c>
      <c r="C14" s="33">
        <v>0.21</v>
      </c>
      <c r="D14" s="118"/>
      <c r="E14" s="118"/>
      <c r="F14" s="118"/>
      <c r="G14" s="118"/>
      <c r="H14" s="118"/>
      <c r="I14" s="118"/>
      <c r="J14" s="118"/>
      <c r="K14" s="118"/>
      <c r="L14" s="118"/>
      <c r="M14" s="118"/>
    </row>
    <row r="15" spans="2:13" s="16" customFormat="1" ht="20.100000000000001" customHeight="1">
      <c r="B15" s="75" t="s">
        <v>17</v>
      </c>
      <c r="C15" s="119">
        <v>0.02</v>
      </c>
      <c r="D15" s="17" t="s">
        <v>18</v>
      </c>
      <c r="E15" s="120">
        <f>M6</f>
        <v>2035</v>
      </c>
      <c r="F15" s="118"/>
      <c r="G15" s="118"/>
      <c r="H15" s="118"/>
      <c r="I15" s="118"/>
      <c r="J15" s="118"/>
      <c r="K15" s="118"/>
      <c r="L15" s="118"/>
      <c r="M15" s="118"/>
    </row>
    <row r="16" spans="2:13" s="16" customFormat="1" ht="20.100000000000001" customHeight="1">
      <c r="B16" s="75" t="s">
        <v>19</v>
      </c>
      <c r="C16" s="35">
        <f>WACC!F9</f>
        <v>0.14070057402861466</v>
      </c>
      <c r="D16" s="18"/>
      <c r="E16" s="118"/>
      <c r="F16" s="118"/>
      <c r="G16" s="118"/>
      <c r="H16" s="118"/>
      <c r="I16" s="118"/>
      <c r="J16" s="118"/>
      <c r="K16" s="118"/>
      <c r="L16" s="118"/>
      <c r="M16" s="118"/>
    </row>
    <row r="17" spans="1:35">
      <c r="B17" s="11"/>
      <c r="C17" s="121"/>
      <c r="D17" s="12"/>
      <c r="E17" s="121"/>
      <c r="F17" s="121"/>
      <c r="G17" s="121"/>
      <c r="H17" s="121"/>
      <c r="I17" s="121"/>
      <c r="J17" s="121"/>
      <c r="K17" s="121"/>
      <c r="L17" s="121"/>
      <c r="M17" s="121"/>
    </row>
    <row r="18" spans="1:35" ht="21.95" thickBot="1">
      <c r="B18" s="14" t="s">
        <v>20</v>
      </c>
      <c r="C18" s="12"/>
      <c r="D18" s="12"/>
      <c r="E18" s="12"/>
      <c r="F18" s="12"/>
      <c r="G18" s="12"/>
      <c r="H18" s="12"/>
      <c r="I18" s="12"/>
      <c r="J18" s="12"/>
      <c r="K18" s="12"/>
      <c r="L18" s="12"/>
      <c r="M18" s="12"/>
    </row>
    <row r="19" spans="1:35" ht="25.35" customHeight="1" thickTop="1" thickBot="1">
      <c r="B19" s="23" t="s">
        <v>9</v>
      </c>
      <c r="C19" s="21"/>
      <c r="D19" s="29">
        <f t="shared" ref="D19:M19" si="1">D6</f>
        <v>2026</v>
      </c>
      <c r="E19" s="29">
        <f t="shared" si="1"/>
        <v>2027</v>
      </c>
      <c r="F19" s="29">
        <f t="shared" si="1"/>
        <v>2028</v>
      </c>
      <c r="G19" s="29">
        <f t="shared" si="1"/>
        <v>2029</v>
      </c>
      <c r="H19" s="29">
        <f t="shared" si="1"/>
        <v>2030</v>
      </c>
      <c r="I19" s="29">
        <f t="shared" si="1"/>
        <v>2031</v>
      </c>
      <c r="J19" s="29">
        <f t="shared" si="1"/>
        <v>2032</v>
      </c>
      <c r="K19" s="29">
        <f t="shared" si="1"/>
        <v>2033</v>
      </c>
      <c r="L19" s="29">
        <f t="shared" si="1"/>
        <v>2034</v>
      </c>
      <c r="M19" s="29">
        <f t="shared" si="1"/>
        <v>2035</v>
      </c>
    </row>
    <row r="20" spans="1:35" s="16" customFormat="1" ht="20.100000000000001" customHeight="1">
      <c r="B20" s="76" t="s">
        <v>21</v>
      </c>
      <c r="C20" s="77"/>
      <c r="D20" s="33">
        <f>IFERROR('Sensitivity Analysis(Bear)'!D35/'Sensitivity Analysis(Bear)'!D32,"")</f>
        <v>0.51000255698518271</v>
      </c>
      <c r="E20" s="34">
        <f>IFERROR('Sensitivity Analysis(Bear)'!E35/'Sensitivity Analysis(Bear)'!E32,"")</f>
        <v>0.53000177118610348</v>
      </c>
      <c r="F20" s="34">
        <f>IFERROR('Sensitivity Analysis(Bear)'!F35/'Sensitivity Analysis(Bear)'!F32,"")</f>
        <v>0.54000056806677554</v>
      </c>
      <c r="G20" s="34">
        <f>IFERROR('Sensitivity Analysis(Bear)'!G35/'Sensitivity Analysis(Bear)'!G32,"")</f>
        <v>0.54999907470817067</v>
      </c>
      <c r="H20" s="34">
        <f>IFERROR('Sensitivity Analysis(Bear)'!H35/'Sensitivity Analysis(Bear)'!H32,"")</f>
        <v>0.56000106450336995</v>
      </c>
      <c r="I20" s="34">
        <f>IFERROR('Sensitivity Analysis(Bear)'!I35/'Sensitivity Analysis(Bear)'!I32,"")</f>
        <v>0.57000038641775519</v>
      </c>
      <c r="J20" s="34">
        <f>IFERROR('Sensitivity Analysis(Bear)'!J35/'Sensitivity Analysis(Bear)'!J32,"")</f>
        <v>0.57999932221388495</v>
      </c>
      <c r="K20" s="34">
        <f>IFERROR('Sensitivity Analysis(Bear)'!K35/'Sensitivity Analysis(Bear)'!K32,"")</f>
        <v>0.57999981151311575</v>
      </c>
      <c r="L20" s="34">
        <f>IFERROR('Sensitivity Analysis(Bear)'!L35/'Sensitivity Analysis(Bear)'!L32,"")</f>
        <v>0.58000051723316015</v>
      </c>
      <c r="M20" s="34">
        <f>IFERROR('Sensitivity Analysis(Bear)'!M35/'Sensitivity Analysis(Bear)'!M32,"")</f>
        <v>0.5799995085178864</v>
      </c>
    </row>
    <row r="21" spans="1:35" s="16" customFormat="1" ht="20.100000000000001" customHeight="1">
      <c r="B21" s="78" t="s">
        <v>22</v>
      </c>
      <c r="C21" s="79"/>
      <c r="D21" s="35">
        <f>IFERROR('Sensitivity Analysis(Bear)'!D46/'Sensitivity Analysis(Bear)'!D32,"")</f>
        <v>-0.28999638858793786</v>
      </c>
      <c r="E21" s="36">
        <f>IFERROR('Sensitivity Analysis(Bear)'!E46/'Sensitivity Analysis(Bear)'!E32,"")</f>
        <v>-0.17999991547848024</v>
      </c>
      <c r="F21" s="36">
        <f>IFERROR('Sensitivity Analysis(Bear)'!F46/'Sensitivity Analysis(Bear)'!F32,"")</f>
        <v>-9.999698773215783E-2</v>
      </c>
      <c r="G21" s="36">
        <f>IFERROR('Sensitivity Analysis(Bear)'!G46/'Sensitivity Analysis(Bear)'!G32,"")</f>
        <v>-3.000067293338882E-2</v>
      </c>
      <c r="H21" s="36">
        <f>IFERROR('Sensitivity Analysis(Bear)'!H46/'Sensitivity Analysis(Bear)'!H32,"")</f>
        <v>3.0000385068996417E-2</v>
      </c>
      <c r="I21" s="36">
        <f>IFERROR('Sensitivity Analysis(Bear)'!I46/'Sensitivity Analysis(Bear)'!I32,"")</f>
        <v>8.0001988000734992E-2</v>
      </c>
      <c r="J21" s="36">
        <f>IFERROR('Sensitivity Analysis(Bear)'!J46/'Sensitivity Analysis(Bear)'!J32,"")</f>
        <v>0.11999941090873813</v>
      </c>
      <c r="K21" s="36">
        <f>IFERROR('Sensitivity Analysis(Bear)'!K46/'Sensitivity Analysis(Bear)'!K32,"")</f>
        <v>0.14999956999685812</v>
      </c>
      <c r="L21" s="36">
        <f>IFERROR('Sensitivity Analysis(Bear)'!L46/'Sensitivity Analysis(Bear)'!L32,"")</f>
        <v>0.17000069542900231</v>
      </c>
      <c r="M21" s="36">
        <f>IFERROR('Sensitivity Analysis(Bear)'!M46/'Sensitivity Analysis(Bear)'!M32,"")</f>
        <v>0.18999973186891145</v>
      </c>
    </row>
    <row r="22" spans="1:35" s="16" customFormat="1" ht="20.100000000000001" customHeight="1">
      <c r="B22" s="78" t="s">
        <v>23</v>
      </c>
      <c r="C22" s="79"/>
      <c r="D22" s="37">
        <f>'Sensitivity Analysis(Bear)'!D51/1000000</f>
        <v>-2.3877454999999999E-2</v>
      </c>
      <c r="E22" s="38">
        <f>'Sensitivity Analysis(Bear)'!E51/1000000</f>
        <v>-6.9206961999999858E-3</v>
      </c>
      <c r="F22" s="38">
        <f>'Sensitivity Analysis(Bear)'!F51/1000000</f>
        <v>1.243945740800001E-2</v>
      </c>
      <c r="G22" s="38">
        <f>'Sensitivity Analysis(Bear)'!G51/1000000</f>
        <v>3.5204520659819973E-2</v>
      </c>
      <c r="H22" s="38">
        <f>'Sensitivity Analysis(Bear)'!H51/1000000</f>
        <v>5.8984073474124217E-2</v>
      </c>
      <c r="I22" s="38">
        <f>'Sensitivity Analysis(Bear)'!I51/1000000</f>
        <v>8.0271748997920583E-2</v>
      </c>
      <c r="J22" s="38">
        <f>'Sensitivity Analysis(Bear)'!J51/1000000</f>
        <v>0.10548864779501656</v>
      </c>
      <c r="K22" s="38">
        <f>'Sensitivity Analysis(Bear)'!K51/1000000</f>
        <v>0.1214445946281501</v>
      </c>
      <c r="L22" s="38">
        <f>'Sensitivity Analysis(Bear)'!L51/1000000</f>
        <v>0.13416741361467108</v>
      </c>
      <c r="M22" s="38">
        <f>'Sensitivity Analysis(Bear)'!M51/1000000</f>
        <v>0.142543</v>
      </c>
    </row>
    <row r="23" spans="1:35" s="16" customFormat="1" ht="20.100000000000001" customHeight="1" thickBot="1">
      <c r="B23" s="95" t="s">
        <v>24</v>
      </c>
      <c r="C23" s="96"/>
      <c r="D23" s="97"/>
      <c r="E23" s="98"/>
      <c r="F23" s="98"/>
      <c r="G23" s="98"/>
      <c r="H23" s="98"/>
      <c r="I23" s="98"/>
      <c r="J23" s="98"/>
      <c r="K23" s="98"/>
      <c r="L23" s="98"/>
      <c r="M23" s="39">
        <f>'Sensitivity Analysis(Bear)'!M53/1000000</f>
        <v>1.204583</v>
      </c>
    </row>
    <row r="24" spans="1:35" s="16" customFormat="1" ht="11.1" customHeight="1">
      <c r="B24" s="30"/>
      <c r="C24" s="6"/>
      <c r="D24" s="6"/>
      <c r="E24" s="6"/>
      <c r="F24" s="6"/>
      <c r="G24" s="6"/>
      <c r="H24" s="6"/>
      <c r="I24" s="6"/>
      <c r="J24" s="6"/>
      <c r="K24" s="6"/>
      <c r="L24" s="6"/>
      <c r="M24" s="27"/>
    </row>
    <row r="25" spans="1:35" s="16" customFormat="1" ht="20.100000000000001" customHeight="1" thickBot="1">
      <c r="B25" s="40" t="s">
        <v>25</v>
      </c>
      <c r="C25" s="41"/>
      <c r="D25" s="92">
        <f>'Sensitivity Analysis(Bear)'!C57/1000000</f>
        <v>0.55642400000000003</v>
      </c>
      <c r="E25" s="6"/>
      <c r="F25" s="6"/>
      <c r="G25" s="6"/>
      <c r="H25" s="6"/>
      <c r="I25" s="6"/>
      <c r="J25" s="6"/>
      <c r="K25" s="6"/>
      <c r="L25" s="6"/>
      <c r="M25" s="6"/>
    </row>
    <row r="26" spans="1:35" s="16" customFormat="1" ht="11.1" customHeight="1">
      <c r="B26" s="31"/>
      <c r="C26" s="15"/>
      <c r="D26" s="28"/>
      <c r="E26" s="6"/>
      <c r="F26" s="6"/>
      <c r="G26" s="6"/>
      <c r="H26" s="6"/>
      <c r="I26" s="6"/>
      <c r="J26" s="6"/>
      <c r="K26" s="6"/>
      <c r="L26" s="6"/>
      <c r="M26" s="6"/>
    </row>
    <row r="27" spans="1:35" s="16" customFormat="1" ht="20.100000000000001" customHeight="1" thickBot="1">
      <c r="B27" s="40" t="s">
        <v>26</v>
      </c>
      <c r="C27" s="41"/>
      <c r="D27" s="93">
        <f>'Sensitivity Analysis(Bear)'!C63/1000000</f>
        <v>0.61334599999999995</v>
      </c>
      <c r="E27" s="6"/>
      <c r="F27" s="6"/>
      <c r="G27" s="6"/>
      <c r="H27" s="6"/>
      <c r="I27" s="6"/>
      <c r="J27" s="6"/>
      <c r="K27" s="6"/>
      <c r="L27" s="6"/>
      <c r="M27" s="6"/>
    </row>
    <row r="28" spans="1:35" ht="15.95" thickBot="1">
      <c r="B28" s="2"/>
      <c r="C28" s="2"/>
      <c r="D28" s="2"/>
      <c r="E28" s="2"/>
      <c r="F28" s="2"/>
      <c r="G28" s="2"/>
      <c r="H28" s="2"/>
      <c r="I28" s="2"/>
      <c r="J28" s="2"/>
      <c r="K28" s="2"/>
      <c r="L28" s="2"/>
      <c r="M28" s="2"/>
    </row>
    <row r="29" spans="1:35" ht="25.35" customHeight="1" thickTop="1">
      <c r="B29" s="2"/>
      <c r="C29" s="42" t="s">
        <v>27</v>
      </c>
      <c r="D29" s="43" t="s">
        <v>28</v>
      </c>
      <c r="E29" s="44"/>
      <c r="F29" s="44"/>
      <c r="G29" s="44"/>
      <c r="H29" s="44"/>
      <c r="I29" s="44"/>
      <c r="J29" s="44"/>
      <c r="K29" s="44"/>
      <c r="L29" s="44"/>
      <c r="M29" s="45"/>
    </row>
    <row r="30" spans="1:35" ht="20.100000000000001" customHeight="1" thickBot="1">
      <c r="A30" s="9"/>
      <c r="B30" s="2"/>
      <c r="C30" s="46">
        <f>D6-1</f>
        <v>2025</v>
      </c>
      <c r="D30" s="47">
        <f t="shared" ref="D30:M30" si="2">C30+1</f>
        <v>2026</v>
      </c>
      <c r="E30" s="47">
        <f t="shared" si="2"/>
        <v>2027</v>
      </c>
      <c r="F30" s="47">
        <f t="shared" si="2"/>
        <v>2028</v>
      </c>
      <c r="G30" s="47">
        <f t="shared" si="2"/>
        <v>2029</v>
      </c>
      <c r="H30" s="47">
        <f t="shared" si="2"/>
        <v>2030</v>
      </c>
      <c r="I30" s="47">
        <f t="shared" si="2"/>
        <v>2031</v>
      </c>
      <c r="J30" s="47">
        <f t="shared" si="2"/>
        <v>2032</v>
      </c>
      <c r="K30" s="47">
        <f t="shared" si="2"/>
        <v>2033</v>
      </c>
      <c r="L30" s="47">
        <f t="shared" si="2"/>
        <v>2034</v>
      </c>
      <c r="M30" s="47">
        <f t="shared" si="2"/>
        <v>2035</v>
      </c>
      <c r="N30" s="9"/>
      <c r="O30" s="9"/>
      <c r="P30" s="9"/>
      <c r="Q30" s="9"/>
      <c r="R30" s="9"/>
      <c r="S30" s="9"/>
      <c r="T30" s="9"/>
      <c r="U30" s="9"/>
      <c r="V30" s="9"/>
      <c r="W30" s="9"/>
      <c r="X30" s="9"/>
      <c r="Y30" s="9"/>
      <c r="Z30" s="9"/>
      <c r="AA30" s="9"/>
      <c r="AB30" s="9"/>
      <c r="AC30" s="9"/>
      <c r="AD30" s="9"/>
      <c r="AE30" s="9"/>
      <c r="AF30" s="9"/>
      <c r="AG30" s="9"/>
      <c r="AH30" s="9"/>
      <c r="AI30" s="9"/>
    </row>
    <row r="31" spans="1:35" ht="11.1" customHeight="1">
      <c r="B31" s="2"/>
      <c r="C31" s="2"/>
      <c r="D31" s="2"/>
      <c r="E31" s="2"/>
      <c r="F31" s="2"/>
      <c r="G31" s="2"/>
      <c r="H31" s="2"/>
      <c r="I31" s="2"/>
      <c r="J31" s="2"/>
      <c r="K31" s="2"/>
      <c r="L31" s="2"/>
      <c r="M31" s="2"/>
    </row>
    <row r="32" spans="1:35" s="16" customFormat="1" ht="20.100000000000001" customHeight="1">
      <c r="B32" s="82" t="s">
        <v>29</v>
      </c>
      <c r="C32" s="50">
        <v>145905</v>
      </c>
      <c r="D32" s="54">
        <f>C32*(1+'Sensitivity Analysis(Bear)'!D7)</f>
        <v>189676.5</v>
      </c>
      <c r="E32" s="54">
        <f>D32*(1+'Sensitivity Analysis(Bear)'!E7)</f>
        <v>238992.39</v>
      </c>
      <c r="F32" s="54">
        <f>E32*(1+'Sensitivity Analysis(Bear)'!F7)</f>
        <v>289180.79190000001</v>
      </c>
      <c r="G32" s="54">
        <f>F32*(1+'Sensitivity Analysis(Bear)'!G7)</f>
        <v>338341.52652299998</v>
      </c>
      <c r="H32" s="54">
        <f>G32*(1+'Sensitivity Analysis(Bear)'!H7)</f>
        <v>382325.92497098993</v>
      </c>
      <c r="I32" s="54">
        <f>H32*(1+'Sensitivity Analysis(Bear)'!I7)</f>
        <v>420558.51746808895</v>
      </c>
      <c r="J32" s="54">
        <f>I32*(1+'Sensitivity Analysis(Bear)'!J7)</f>
        <v>458408.784040217</v>
      </c>
      <c r="K32" s="54">
        <f>J32*(1+'Sensitivity Analysis(Bear)'!K7)</f>
        <v>490497.39892303222</v>
      </c>
      <c r="L32" s="54">
        <f>K32*(1+'Sensitivity Analysis(Bear)'!L7)</f>
        <v>510117.29487995355</v>
      </c>
      <c r="M32" s="54">
        <f>L32*(1+'Sensitivity Analysis(Bear)'!M7)</f>
        <v>525420.81372635218</v>
      </c>
    </row>
    <row r="33" spans="1:23" ht="11.1" customHeight="1">
      <c r="B33" s="63"/>
      <c r="C33" s="122"/>
      <c r="D33" s="122"/>
      <c r="E33" s="122"/>
      <c r="F33" s="122"/>
      <c r="G33" s="122"/>
      <c r="H33" s="122"/>
      <c r="I33" s="122"/>
      <c r="J33" s="122"/>
      <c r="K33" s="122"/>
      <c r="L33" s="122"/>
      <c r="M33" s="122"/>
    </row>
    <row r="34" spans="1:23" s="16" customFormat="1" ht="20.100000000000001" customHeight="1">
      <c r="B34" s="83" t="s">
        <v>30</v>
      </c>
      <c r="C34" s="85">
        <v>70603</v>
      </c>
      <c r="D34" s="57">
        <f>ROUND((D32*(1-'Sensitivity Analysis(Bear)'!D8)),0)</f>
        <v>92941</v>
      </c>
      <c r="E34" s="57">
        <f>ROUND((E32*(1-'Sensitivity Analysis(Bear)'!E8)),0)</f>
        <v>112326</v>
      </c>
      <c r="F34" s="57">
        <f>ROUND((F32*(1-'Sensitivity Analysis(Bear)'!F8)),0)</f>
        <v>133023</v>
      </c>
      <c r="G34" s="57">
        <f>ROUND((G32*(1-'Sensitivity Analysis(Bear)'!G8)),0)</f>
        <v>152254</v>
      </c>
      <c r="H34" s="57">
        <f>ROUND((H32*(1-'Sensitivity Analysis(Bear)'!H8)),0)</f>
        <v>168223</v>
      </c>
      <c r="I34" s="57">
        <f>ROUND((I32*(1-'Sensitivity Analysis(Bear)'!I8)),0)</f>
        <v>180840</v>
      </c>
      <c r="J34" s="57">
        <f>ROUND((J32*(1-'Sensitivity Analysis(Bear)'!J8)),0)</f>
        <v>192532</v>
      </c>
      <c r="K34" s="57">
        <f>ROUND((K32*(1-'Sensitivity Analysis(Bear)'!K8)),0)</f>
        <v>206009</v>
      </c>
      <c r="L34" s="57">
        <f>ROUND((L32*(1-'Sensitivity Analysis(Bear)'!L8)),0)</f>
        <v>214249</v>
      </c>
      <c r="M34" s="57">
        <f>ROUND((M32*(1-'Sensitivity Analysis(Bear)'!M8)),0)</f>
        <v>220677</v>
      </c>
    </row>
    <row r="35" spans="1:23" s="16" customFormat="1" ht="20.100000000000001" customHeight="1">
      <c r="B35" s="84" t="s">
        <v>31</v>
      </c>
      <c r="C35" s="55">
        <v>75302</v>
      </c>
      <c r="D35" s="58">
        <f t="shared" ref="D35:M35" si="3">D32-D34</f>
        <v>96735.5</v>
      </c>
      <c r="E35" s="58">
        <f t="shared" si="3"/>
        <v>126666.39000000001</v>
      </c>
      <c r="F35" s="58">
        <f t="shared" si="3"/>
        <v>156157.79190000001</v>
      </c>
      <c r="G35" s="58">
        <f t="shared" si="3"/>
        <v>186087.52652299998</v>
      </c>
      <c r="H35" s="58">
        <f t="shared" si="3"/>
        <v>214102.92497098993</v>
      </c>
      <c r="I35" s="58">
        <f t="shared" si="3"/>
        <v>239718.51746808895</v>
      </c>
      <c r="J35" s="58">
        <f t="shared" si="3"/>
        <v>265876.784040217</v>
      </c>
      <c r="K35" s="58">
        <f t="shared" si="3"/>
        <v>284488.39892303222</v>
      </c>
      <c r="L35" s="58">
        <f t="shared" si="3"/>
        <v>295868.29487995355</v>
      </c>
      <c r="M35" s="58">
        <f t="shared" si="3"/>
        <v>304743.81372635218</v>
      </c>
    </row>
    <row r="36" spans="1:23" ht="11.1" customHeight="1">
      <c r="B36" s="64"/>
      <c r="C36" s="2"/>
      <c r="D36" s="2"/>
      <c r="E36" s="2"/>
      <c r="F36" s="2"/>
      <c r="G36" s="2"/>
      <c r="H36" s="2"/>
      <c r="I36" s="2"/>
      <c r="J36" s="2"/>
      <c r="K36" s="2"/>
      <c r="L36" s="2"/>
      <c r="M36" s="2"/>
    </row>
    <row r="37" spans="1:23" s="16" customFormat="1" ht="20.100000000000001" customHeight="1">
      <c r="B37" s="86" t="s">
        <v>32</v>
      </c>
      <c r="C37" s="51">
        <f>185897+160635+59796-6491</f>
        <v>399837</v>
      </c>
      <c r="D37" s="57">
        <f>ROUND((D32*'Sensitivity Analysis(Bear)'!D9),0)</f>
        <v>119496</v>
      </c>
      <c r="E37" s="57">
        <f>ROUND((E32*'Sensitivity Analysis(Bear)'!E9),0)</f>
        <v>133836</v>
      </c>
      <c r="F37" s="57">
        <f>ROUND((F32*'Sensitivity Analysis(Bear)'!F9),0)</f>
        <v>144590</v>
      </c>
      <c r="G37" s="57">
        <f>ROUND((G32*'Sensitivity Analysis(Bear)'!G9),0)</f>
        <v>152254</v>
      </c>
      <c r="H37" s="57">
        <f>ROUND((H32*'Sensitivity Analysis(Bear)'!H9),0)</f>
        <v>156754</v>
      </c>
      <c r="I37" s="57">
        <f>ROUND((I32*'Sensitivity Analysis(Bear)'!I9),0)</f>
        <v>159812</v>
      </c>
      <c r="J37" s="57">
        <f>ROUND((J32*'Sensitivity Analysis(Bear)'!J9),0)</f>
        <v>160443</v>
      </c>
      <c r="K37" s="57">
        <f>ROUND((K32*'Sensitivity Analysis(Bear)'!K9),0)</f>
        <v>161864</v>
      </c>
      <c r="L37" s="57">
        <f>ROUND((L32*'Sensitivity Analysis(Bear)'!L9),0)</f>
        <v>158136</v>
      </c>
      <c r="M37" s="57">
        <f>ROUND((M32*'Sensitivity Analysis(Bear)'!M9),0)</f>
        <v>157626</v>
      </c>
    </row>
    <row r="38" spans="1:23" s="16" customFormat="1" ht="20.100000000000001" customHeight="1">
      <c r="B38" s="84" t="s">
        <v>33</v>
      </c>
      <c r="C38" s="87">
        <f t="shared" ref="C38:M38" si="4">C35-C37</f>
        <v>-324535</v>
      </c>
      <c r="D38" s="58">
        <f t="shared" si="4"/>
        <v>-22760.5</v>
      </c>
      <c r="E38" s="58">
        <f t="shared" si="4"/>
        <v>-7169.609999999986</v>
      </c>
      <c r="F38" s="58">
        <f t="shared" si="4"/>
        <v>11567.791900000011</v>
      </c>
      <c r="G38" s="58">
        <f t="shared" si="4"/>
        <v>33833.526522999979</v>
      </c>
      <c r="H38" s="58">
        <f t="shared" si="4"/>
        <v>57348.92497098993</v>
      </c>
      <c r="I38" s="58">
        <f t="shared" si="4"/>
        <v>79906.517468088947</v>
      </c>
      <c r="J38" s="58">
        <f t="shared" si="4"/>
        <v>105433.784040217</v>
      </c>
      <c r="K38" s="58">
        <f t="shared" si="4"/>
        <v>122624.39892303222</v>
      </c>
      <c r="L38" s="58">
        <f t="shared" si="4"/>
        <v>137732.29487995355</v>
      </c>
      <c r="M38" s="58">
        <f t="shared" si="4"/>
        <v>147117.81372635218</v>
      </c>
    </row>
    <row r="39" spans="1:23" ht="11.1" customHeight="1">
      <c r="B39" s="64"/>
      <c r="C39" s="122"/>
      <c r="D39" s="122"/>
      <c r="E39" s="122"/>
      <c r="F39" s="122"/>
      <c r="G39" s="122"/>
      <c r="H39" s="122"/>
      <c r="I39" s="122"/>
      <c r="J39" s="122"/>
      <c r="K39" s="122"/>
      <c r="L39" s="122"/>
      <c r="M39" s="122"/>
    </row>
    <row r="40" spans="1:23" s="16" customFormat="1" ht="20.100000000000001" customHeight="1">
      <c r="B40" s="83" t="s">
        <v>34</v>
      </c>
      <c r="C40" s="51">
        <v>24340</v>
      </c>
      <c r="D40" s="57">
        <f>ROUND((D32*'Sensitivity Analysis(Bear)'!D10),0)</f>
        <v>32245</v>
      </c>
      <c r="E40" s="57">
        <f>ROUND((E32*'Sensitivity Analysis(Bear)'!E10),0)</f>
        <v>35849</v>
      </c>
      <c r="F40" s="57">
        <f>ROUND((F32*'Sensitivity Analysis(Bear)'!F10),0)</f>
        <v>40485</v>
      </c>
      <c r="G40" s="57">
        <f>ROUND((G32*'Sensitivity Analysis(Bear)'!G10),0)</f>
        <v>43984</v>
      </c>
      <c r="H40" s="57">
        <f>ROUND((H32*'Sensitivity Analysis(Bear)'!H10),0)</f>
        <v>45879</v>
      </c>
      <c r="I40" s="57">
        <f>ROUND((I32*'Sensitivity Analysis(Bear)'!I10),0)</f>
        <v>46261</v>
      </c>
      <c r="J40" s="57">
        <f>ROUND((J32*'Sensitivity Analysis(Bear)'!J10),0)</f>
        <v>50425</v>
      </c>
      <c r="K40" s="57">
        <f>ROUND((K32*'Sensitivity Analysis(Bear)'!K10),0)</f>
        <v>49050</v>
      </c>
      <c r="L40" s="57">
        <f>ROUND((L32*'Sensitivity Analysis(Bear)'!L10),0)</f>
        <v>51012</v>
      </c>
      <c r="M40" s="57">
        <f>ROUND((M32*'Sensitivity Analysis(Bear)'!M10),0)</f>
        <v>47288</v>
      </c>
    </row>
    <row r="41" spans="1:23" s="16" customFormat="1" ht="20.100000000000001" customHeight="1">
      <c r="B41" s="84" t="s">
        <v>35</v>
      </c>
      <c r="C41" s="87">
        <f t="shared" ref="C41:M41" si="5">C38-C40</f>
        <v>-348875</v>
      </c>
      <c r="D41" s="58">
        <f t="shared" si="5"/>
        <v>-55005.5</v>
      </c>
      <c r="E41" s="58">
        <f t="shared" si="5"/>
        <v>-43018.609999999986</v>
      </c>
      <c r="F41" s="58">
        <f t="shared" si="5"/>
        <v>-28917.208099999989</v>
      </c>
      <c r="G41" s="58">
        <f t="shared" si="5"/>
        <v>-10150.473477000021</v>
      </c>
      <c r="H41" s="58">
        <f t="shared" si="5"/>
        <v>11469.92497098993</v>
      </c>
      <c r="I41" s="58">
        <f t="shared" si="5"/>
        <v>33645.517468088947</v>
      </c>
      <c r="J41" s="58">
        <f t="shared" si="5"/>
        <v>55008.784040216997</v>
      </c>
      <c r="K41" s="58">
        <f t="shared" si="5"/>
        <v>73574.398923032219</v>
      </c>
      <c r="L41" s="58">
        <f t="shared" si="5"/>
        <v>86720.294879953552</v>
      </c>
      <c r="M41" s="58">
        <f t="shared" si="5"/>
        <v>99829.813726352178</v>
      </c>
    </row>
    <row r="42" spans="1:23" s="16" customFormat="1" ht="20.100000000000001" customHeight="1">
      <c r="B42" s="88" t="s">
        <v>36</v>
      </c>
      <c r="C42" s="80">
        <v>0</v>
      </c>
      <c r="D42" s="59">
        <f>IF(C42+C41&lt;0,C42+C41,0)</f>
        <v>-348875</v>
      </c>
      <c r="E42" s="59">
        <f t="shared" ref="E42:M42" si="6">IF(D42+D41&lt;0,D42+D41,0)</f>
        <v>-403880.5</v>
      </c>
      <c r="F42" s="59">
        <f t="shared" si="6"/>
        <v>-446899.11</v>
      </c>
      <c r="G42" s="59">
        <f t="shared" si="6"/>
        <v>-475816.31809999997</v>
      </c>
      <c r="H42" s="59">
        <f t="shared" si="6"/>
        <v>-485966.791577</v>
      </c>
      <c r="I42" s="59">
        <f t="shared" si="6"/>
        <v>-474496.86660601007</v>
      </c>
      <c r="J42" s="59">
        <f t="shared" si="6"/>
        <v>-440851.34913792112</v>
      </c>
      <c r="K42" s="59">
        <f t="shared" si="6"/>
        <v>-385842.56509770412</v>
      </c>
      <c r="L42" s="59">
        <f t="shared" si="6"/>
        <v>-312268.1661746719</v>
      </c>
      <c r="M42" s="59">
        <f t="shared" si="6"/>
        <v>-225547.87129471835</v>
      </c>
      <c r="O42" s="52"/>
      <c r="P42" s="52"/>
      <c r="Q42" s="52"/>
      <c r="R42" s="52"/>
      <c r="S42" s="52"/>
      <c r="T42" s="52"/>
      <c r="U42" s="52"/>
      <c r="V42" s="52"/>
      <c r="W42" s="52"/>
    </row>
    <row r="43" spans="1:23" s="16" customFormat="1" ht="20.100000000000001" customHeight="1">
      <c r="B43" s="88" t="s">
        <v>37</v>
      </c>
      <c r="C43" s="89">
        <f t="shared" ref="C43:M43" si="7">IF(SUM(C41:C42)&lt;0,0,SUM(C41:C42))</f>
        <v>0</v>
      </c>
      <c r="D43" s="59">
        <f t="shared" si="7"/>
        <v>0</v>
      </c>
      <c r="E43" s="59">
        <f t="shared" si="7"/>
        <v>0</v>
      </c>
      <c r="F43" s="59">
        <f t="shared" si="7"/>
        <v>0</v>
      </c>
      <c r="G43" s="59">
        <f t="shared" si="7"/>
        <v>0</v>
      </c>
      <c r="H43" s="59">
        <f t="shared" si="7"/>
        <v>0</v>
      </c>
      <c r="I43" s="59">
        <f t="shared" si="7"/>
        <v>0</v>
      </c>
      <c r="J43" s="59">
        <f t="shared" si="7"/>
        <v>0</v>
      </c>
      <c r="K43" s="59">
        <f t="shared" si="7"/>
        <v>0</v>
      </c>
      <c r="L43" s="59">
        <f t="shared" si="7"/>
        <v>0</v>
      </c>
      <c r="M43" s="59">
        <f t="shared" si="7"/>
        <v>0</v>
      </c>
      <c r="O43" s="52"/>
      <c r="P43" s="113"/>
      <c r="Q43" s="52"/>
      <c r="R43" s="52"/>
      <c r="S43" s="52"/>
      <c r="T43" s="52"/>
      <c r="U43" s="52"/>
      <c r="V43" s="52"/>
      <c r="W43" s="52"/>
    </row>
    <row r="44" spans="1:23" s="16" customFormat="1" ht="11.1" customHeight="1">
      <c r="A44" s="52"/>
      <c r="B44" s="65"/>
      <c r="C44" s="56"/>
      <c r="D44" s="56"/>
      <c r="E44" s="56"/>
      <c r="F44" s="56"/>
      <c r="G44" s="56"/>
      <c r="H44" s="56"/>
      <c r="I44" s="56"/>
      <c r="J44" s="56"/>
      <c r="K44" s="56"/>
      <c r="L44" s="56"/>
      <c r="M44" s="56"/>
      <c r="N44" s="52"/>
      <c r="O44" s="52"/>
      <c r="P44" s="52"/>
      <c r="Q44" s="52"/>
      <c r="R44" s="52"/>
      <c r="S44" s="52"/>
      <c r="T44" s="52"/>
      <c r="U44" s="52"/>
      <c r="V44" s="52"/>
      <c r="W44" s="52"/>
    </row>
    <row r="45" spans="1:23" s="16" customFormat="1" ht="20.100000000000001" customHeight="1">
      <c r="B45" s="83" t="s">
        <v>38</v>
      </c>
      <c r="C45" s="85">
        <v>299222</v>
      </c>
      <c r="D45" s="57">
        <f>D43*'Sensitivity Analysis(Bear)'!$C$14</f>
        <v>0</v>
      </c>
      <c r="E45" s="57">
        <f>E43*'Sensitivity Analysis(Bear)'!$C$14</f>
        <v>0</v>
      </c>
      <c r="F45" s="57">
        <f>F43*'Sensitivity Analysis(Bear)'!$C$14</f>
        <v>0</v>
      </c>
      <c r="G45" s="57">
        <f>G43*'Sensitivity Analysis(Bear)'!$C$14</f>
        <v>0</v>
      </c>
      <c r="H45" s="57">
        <f>H43*'Sensitivity Analysis(Bear)'!$C$14</f>
        <v>0</v>
      </c>
      <c r="I45" s="57">
        <f>I43*'Sensitivity Analysis(Bear)'!$C$14</f>
        <v>0</v>
      </c>
      <c r="J45" s="57">
        <f>J43*'Sensitivity Analysis(Bear)'!$C$14</f>
        <v>0</v>
      </c>
      <c r="K45" s="57">
        <f>K43*'Sensitivity Analysis(Bear)'!$C$14</f>
        <v>0</v>
      </c>
      <c r="L45" s="57">
        <f>L43*'Sensitivity Analysis(Bear)'!$C$14</f>
        <v>0</v>
      </c>
      <c r="M45" s="57">
        <f>M43*'Sensitivity Analysis(Bear)'!$C$14</f>
        <v>0</v>
      </c>
    </row>
    <row r="46" spans="1:23" s="16" customFormat="1" ht="20.100000000000001" customHeight="1">
      <c r="B46" s="84" t="s">
        <v>39</v>
      </c>
      <c r="C46" s="90">
        <f t="shared" ref="C46:M46" si="8">C41-C45</f>
        <v>-648097</v>
      </c>
      <c r="D46" s="58">
        <f t="shared" si="8"/>
        <v>-55005.5</v>
      </c>
      <c r="E46" s="58">
        <f t="shared" si="8"/>
        <v>-43018.609999999986</v>
      </c>
      <c r="F46" s="58">
        <f t="shared" si="8"/>
        <v>-28917.208099999989</v>
      </c>
      <c r="G46" s="58">
        <f t="shared" si="8"/>
        <v>-10150.473477000021</v>
      </c>
      <c r="H46" s="58">
        <f t="shared" si="8"/>
        <v>11469.92497098993</v>
      </c>
      <c r="I46" s="58">
        <f t="shared" si="8"/>
        <v>33645.517468088947</v>
      </c>
      <c r="J46" s="58">
        <f t="shared" si="8"/>
        <v>55008.784040216997</v>
      </c>
      <c r="K46" s="58">
        <f t="shared" si="8"/>
        <v>73574.398923032219</v>
      </c>
      <c r="L46" s="58">
        <f t="shared" si="8"/>
        <v>86720.294879953552</v>
      </c>
      <c r="M46" s="58">
        <f t="shared" si="8"/>
        <v>99829.813726352178</v>
      </c>
    </row>
    <row r="47" spans="1:23" ht="11.1" customHeight="1">
      <c r="B47" s="64"/>
      <c r="C47" s="2"/>
      <c r="D47" s="2"/>
      <c r="E47" s="2"/>
      <c r="F47" s="2"/>
      <c r="G47" s="2"/>
      <c r="H47" s="2"/>
      <c r="I47" s="2"/>
      <c r="J47" s="2"/>
      <c r="K47" s="2"/>
      <c r="L47" s="2"/>
      <c r="M47" s="2"/>
    </row>
    <row r="48" spans="1:23" s="16" customFormat="1" ht="20.100000000000001" customHeight="1">
      <c r="B48" s="83" t="s">
        <v>40</v>
      </c>
      <c r="C48" s="85">
        <f t="shared" ref="C48:M48" si="9">C40</f>
        <v>24340</v>
      </c>
      <c r="D48" s="57">
        <f t="shared" si="9"/>
        <v>32245</v>
      </c>
      <c r="E48" s="57">
        <f t="shared" si="9"/>
        <v>35849</v>
      </c>
      <c r="F48" s="57">
        <f t="shared" si="9"/>
        <v>40485</v>
      </c>
      <c r="G48" s="57">
        <f t="shared" si="9"/>
        <v>43984</v>
      </c>
      <c r="H48" s="57">
        <f t="shared" si="9"/>
        <v>45879</v>
      </c>
      <c r="I48" s="57">
        <f t="shared" si="9"/>
        <v>46261</v>
      </c>
      <c r="J48" s="57">
        <f t="shared" si="9"/>
        <v>50425</v>
      </c>
      <c r="K48" s="57">
        <f t="shared" si="9"/>
        <v>49050</v>
      </c>
      <c r="L48" s="57">
        <f t="shared" si="9"/>
        <v>51012</v>
      </c>
      <c r="M48" s="57">
        <f t="shared" si="9"/>
        <v>47288</v>
      </c>
    </row>
    <row r="49" spans="1:14" s="16" customFormat="1" ht="20.100000000000001" customHeight="1">
      <c r="B49" s="86" t="s">
        <v>41</v>
      </c>
      <c r="C49" s="81">
        <v>-3733</v>
      </c>
      <c r="D49" s="57">
        <f>C49*(1+'Sensitivity Analysis(Bear)'!D11)</f>
        <v>-4180.96</v>
      </c>
      <c r="E49" s="57">
        <f>D49*(1+'Sensitivity Analysis(Bear)'!E11)</f>
        <v>-4682.6752000000006</v>
      </c>
      <c r="F49" s="57">
        <f>E49*(1+'Sensitivity Analysis(Bear)'!F11)</f>
        <v>-5150.9427200000009</v>
      </c>
      <c r="G49" s="57">
        <f>F49*(1+'Sensitivity Analysis(Bear)'!G11)</f>
        <v>-5511.5087104000013</v>
      </c>
      <c r="H49" s="57">
        <f>G49*(1+'Sensitivity Analysis(Bear)'!H11)</f>
        <v>-5842.1992330240018</v>
      </c>
      <c r="I49" s="57">
        <f>H49*(1+'Sensitivity Analysis(Bear)'!I11)</f>
        <v>-6134.309194675202</v>
      </c>
      <c r="J49" s="57">
        <f>I49*(1+'Sensitivity Analysis(Bear)'!J11)</f>
        <v>-6379.6815624622104</v>
      </c>
      <c r="K49" s="57">
        <f>J49*(1+'Sensitivity Analysis(Bear)'!K11)</f>
        <v>-6634.8688249606994</v>
      </c>
      <c r="L49" s="57">
        <f>K49*(1+'Sensitivity Analysis(Bear)'!L11)</f>
        <v>-6900.2635779591274</v>
      </c>
      <c r="M49" s="57">
        <f>L49*(1+'Sensitivity Analysis(Bear)'!M11)</f>
        <v>-7176.274121077493</v>
      </c>
    </row>
    <row r="50" spans="1:14" s="16" customFormat="1" ht="20.100000000000001" customHeight="1">
      <c r="B50" s="86" t="s">
        <v>42</v>
      </c>
      <c r="C50" s="60"/>
      <c r="D50" s="57">
        <f>(D32-C32)*'Sensitivity Analysis(Bear)'!D12</f>
        <v>3064.0050000000001</v>
      </c>
      <c r="E50" s="57">
        <f>(E32-D32)*'Sensitivity Analysis(Bear)'!E12</f>
        <v>4931.5890000000018</v>
      </c>
      <c r="F50" s="57">
        <f>(F32-E32)*'Sensitivity Analysis(Bear)'!F12</f>
        <v>6022.6082279999991</v>
      </c>
      <c r="G50" s="57">
        <f>(G32-F32)*'Sensitivity Analysis(Bear)'!G12</f>
        <v>6882.5028472199965</v>
      </c>
      <c r="H50" s="57">
        <f>(H32-G32)*'Sensitivity Analysis(Bear)'!H12</f>
        <v>7477.3477361582927</v>
      </c>
      <c r="I50" s="57">
        <f>(I32-H32)*'Sensitivity Analysis(Bear)'!I12</f>
        <v>6499.5407245068336</v>
      </c>
      <c r="J50" s="57">
        <f>(J32-I32)*'Sensitivity Analysis(Bear)'!J12</f>
        <v>6434.545317261769</v>
      </c>
      <c r="K50" s="57">
        <f>(K32-J32)*'Sensitivity Analysis(Bear)'!K12</f>
        <v>5455.0645300785882</v>
      </c>
      <c r="L50" s="57">
        <f>(L32-K32)*'Sensitivity Analysis(Bear)'!L12</f>
        <v>3335.382312676627</v>
      </c>
      <c r="M50" s="57">
        <f>(M32-L32)*'Sensitivity Analysis(Bear)'!M12</f>
        <v>2601.5982038877669</v>
      </c>
    </row>
    <row r="51" spans="1:14" s="16" customFormat="1" ht="20.100000000000001" customHeight="1">
      <c r="A51" s="53"/>
      <c r="B51" s="84" t="s">
        <v>43</v>
      </c>
      <c r="C51" s="91">
        <f>SUM(C46:C50)</f>
        <v>-627490</v>
      </c>
      <c r="D51" s="54">
        <f t="shared" ref="D51:L51" si="10">SUM(D46:D50)</f>
        <v>-23877.454999999998</v>
      </c>
      <c r="E51" s="54">
        <f t="shared" si="10"/>
        <v>-6920.6961999999858</v>
      </c>
      <c r="F51" s="54">
        <f t="shared" si="10"/>
        <v>12439.457408000009</v>
      </c>
      <c r="G51" s="54">
        <f t="shared" si="10"/>
        <v>35204.520659819973</v>
      </c>
      <c r="H51" s="54">
        <f t="shared" si="10"/>
        <v>58984.07347412422</v>
      </c>
      <c r="I51" s="54">
        <f>SUM(I46:I50)</f>
        <v>80271.748997920586</v>
      </c>
      <c r="J51" s="54">
        <f t="shared" si="10"/>
        <v>105488.64779501656</v>
      </c>
      <c r="K51" s="54">
        <f t="shared" si="10"/>
        <v>121444.59462815011</v>
      </c>
      <c r="L51" s="54">
        <f t="shared" si="10"/>
        <v>134167.41361467107</v>
      </c>
      <c r="M51" s="54">
        <f>ROUND((SUM(M46:M50)),0)</f>
        <v>142543</v>
      </c>
      <c r="N51" s="53"/>
    </row>
    <row r="52" spans="1:14">
      <c r="B52" s="2"/>
      <c r="C52" s="3"/>
      <c r="D52" s="3"/>
      <c r="E52" s="3"/>
      <c r="F52" s="3"/>
      <c r="G52" s="3"/>
      <c r="H52" s="3"/>
      <c r="I52" s="3"/>
      <c r="J52" s="3"/>
      <c r="K52" s="3"/>
      <c r="L52" s="3"/>
      <c r="M52" s="3"/>
    </row>
    <row r="53" spans="1:14" ht="25.35" customHeight="1" thickBot="1">
      <c r="B53" s="15" t="s">
        <v>44</v>
      </c>
      <c r="D53" s="3"/>
      <c r="E53" s="3"/>
      <c r="F53" s="3"/>
      <c r="G53" s="3"/>
      <c r="H53" s="3"/>
      <c r="I53" s="3"/>
      <c r="J53" s="3"/>
      <c r="K53" s="48" t="s">
        <v>44</v>
      </c>
      <c r="L53" s="49">
        <f>M6</f>
        <v>2035</v>
      </c>
      <c r="M53" s="61">
        <f>ROUND(((M51*(1+'Sensitivity Analysis(Bear)'!C15))/('Sensitivity Analysis(Bear)'!C16-'Sensitivity Analysis(Bear)'!C15)),0)</f>
        <v>1204583</v>
      </c>
    </row>
    <row r="54" spans="1:14">
      <c r="B54" s="2"/>
      <c r="C54" s="2"/>
      <c r="D54" s="2"/>
      <c r="E54" s="2"/>
      <c r="F54" s="2"/>
      <c r="G54" s="2"/>
      <c r="H54" s="2"/>
      <c r="I54" s="2"/>
      <c r="J54" s="2"/>
      <c r="K54" s="2"/>
      <c r="L54" s="2"/>
      <c r="M54" s="2"/>
    </row>
    <row r="55" spans="1:14" s="16" customFormat="1" ht="25.35" customHeight="1" thickBot="1">
      <c r="B55" s="67" t="s">
        <v>45</v>
      </c>
      <c r="C55" s="66">
        <f>C16</f>
        <v>0.14070057402861466</v>
      </c>
      <c r="D55" s="62">
        <f>ROUND((D51/((1+'Sensitivity Analysis(Bear)'!$C$16)^(D30-C30))),0)</f>
        <v>-20932</v>
      </c>
      <c r="E55" s="62">
        <f>ROUND((E51/((1+'Sensitivity Analysis(Bear)'!$C$16)^(E30-C30))),0)</f>
        <v>-5319</v>
      </c>
      <c r="F55" s="62">
        <f>ROUND((F51/((1+'Sensitivity Analysis(Bear)'!$C$16)^(F30-C30))),0)</f>
        <v>8381</v>
      </c>
      <c r="G55" s="62">
        <f>ROUND((G51/((1+'Sensitivity Analysis(Bear)'!$C$16)^(G30-C30))),0)</f>
        <v>20793</v>
      </c>
      <c r="H55" s="62">
        <f>ROUND((H51/((1+'Sensitivity Analysis(Bear)'!$C$16)^(H30-C30))),0)</f>
        <v>30541</v>
      </c>
      <c r="I55" s="62">
        <f>ROUND((I51/((1+'Sensitivity Analysis(Bear)'!$C$16)^(I30-C30))),0)</f>
        <v>36436</v>
      </c>
      <c r="J55" s="62">
        <f>ROUND((J51/((1+'Sensitivity Analysis(Bear)'!$C$16)^(J30-C30))),0)</f>
        <v>41976</v>
      </c>
      <c r="K55" s="62">
        <f>ROUND((K51/((1+'Sensitivity Analysis(Bear)'!$C$16)^(K30-C30))),0)</f>
        <v>42365</v>
      </c>
      <c r="L55" s="62">
        <f>ROUND((L51/((1+'Sensitivity Analysis(Bear)'!$C$16)^(L30-C30))),0)</f>
        <v>41030</v>
      </c>
      <c r="M55" s="62">
        <f>ROUND(((M51+M53)/((1+'Sensitivity Analysis(Bear)'!$C$16)^(M30-C30))),0)</f>
        <v>361153</v>
      </c>
    </row>
    <row r="56" spans="1:14" ht="11.1" customHeight="1">
      <c r="B56" s="13"/>
      <c r="C56" s="2"/>
      <c r="D56" s="2"/>
      <c r="E56" s="2"/>
      <c r="F56" s="2"/>
      <c r="G56" s="2"/>
      <c r="H56" s="2"/>
      <c r="I56" s="2"/>
      <c r="J56" s="2"/>
      <c r="K56" s="2"/>
      <c r="L56" s="2"/>
      <c r="M56" s="2"/>
    </row>
    <row r="57" spans="1:14" ht="25.35" customHeight="1">
      <c r="B57" s="68" t="s">
        <v>46</v>
      </c>
      <c r="C57" s="91">
        <f>SUM(D55:M55)</f>
        <v>556424</v>
      </c>
      <c r="D57" s="2"/>
      <c r="E57" s="2"/>
      <c r="F57" s="2"/>
      <c r="G57" s="2"/>
      <c r="H57" s="2"/>
      <c r="I57" s="2"/>
      <c r="J57" s="2"/>
      <c r="K57" s="2"/>
      <c r="L57" s="2"/>
      <c r="M57" s="2"/>
    </row>
    <row r="58" spans="1:14" ht="25.35" customHeight="1">
      <c r="B58" s="69" t="s">
        <v>47</v>
      </c>
      <c r="C58" s="51">
        <v>151302</v>
      </c>
      <c r="D58" s="131" t="s">
        <v>48</v>
      </c>
      <c r="E58" s="94"/>
      <c r="F58" s="2"/>
      <c r="G58" s="2"/>
      <c r="H58" s="2"/>
      <c r="I58" s="2"/>
      <c r="J58" s="2"/>
      <c r="K58" s="2"/>
      <c r="L58" s="2"/>
      <c r="M58" s="2"/>
    </row>
    <row r="59" spans="1:14" ht="25.35" customHeight="1">
      <c r="B59" s="69" t="s">
        <v>49</v>
      </c>
      <c r="C59" s="51">
        <v>122976</v>
      </c>
      <c r="D59" s="131"/>
      <c r="E59" s="94"/>
      <c r="F59" s="2"/>
      <c r="G59" s="2"/>
      <c r="H59" s="2"/>
      <c r="I59" s="2"/>
      <c r="J59" s="2"/>
      <c r="K59" s="2"/>
      <c r="L59" s="2"/>
      <c r="M59" s="2"/>
    </row>
    <row r="60" spans="1:14" ht="25.35" customHeight="1">
      <c r="B60" s="69" t="s">
        <v>50</v>
      </c>
      <c r="C60" s="51">
        <v>-28596</v>
      </c>
      <c r="D60" s="131"/>
      <c r="E60" s="94"/>
      <c r="F60" s="2"/>
      <c r="G60" s="2"/>
      <c r="H60" s="2"/>
      <c r="I60" s="2"/>
      <c r="J60" s="2"/>
      <c r="K60" s="2"/>
      <c r="L60" s="2"/>
      <c r="M60" s="2"/>
    </row>
    <row r="61" spans="1:14" ht="25.35" customHeight="1">
      <c r="B61" s="69" t="s">
        <v>51</v>
      </c>
      <c r="C61" s="51">
        <v>0</v>
      </c>
      <c r="D61" s="131"/>
      <c r="E61" s="94"/>
      <c r="F61" s="2"/>
      <c r="G61" s="2"/>
      <c r="H61" s="2"/>
      <c r="I61" s="2"/>
      <c r="J61" s="2"/>
      <c r="K61" s="2"/>
      <c r="L61" s="2"/>
      <c r="M61" s="2"/>
    </row>
    <row r="62" spans="1:14" ht="11.1" customHeight="1">
      <c r="B62" s="70"/>
      <c r="C62" s="2"/>
      <c r="D62" s="10"/>
      <c r="E62" s="2"/>
      <c r="F62" s="2"/>
      <c r="G62" s="2"/>
      <c r="H62" s="2"/>
      <c r="I62" s="2"/>
      <c r="J62" s="2"/>
      <c r="K62" s="2"/>
      <c r="L62" s="2"/>
      <c r="M62" s="2"/>
    </row>
    <row r="63" spans="1:14" ht="25.35" customHeight="1" thickBot="1">
      <c r="B63" s="68" t="s">
        <v>52</v>
      </c>
      <c r="C63" s="61">
        <f>C57+C58-C59-C60-C61</f>
        <v>613346</v>
      </c>
      <c r="D63" s="10"/>
      <c r="E63" s="2"/>
      <c r="F63" s="2"/>
      <c r="G63" s="2"/>
      <c r="H63" s="2"/>
      <c r="I63" s="2"/>
      <c r="J63" s="2"/>
      <c r="K63" s="2"/>
      <c r="L63" s="2"/>
      <c r="M63" s="2"/>
    </row>
    <row r="64" spans="1:14" ht="26.45" customHeight="1">
      <c r="B64" s="69" t="s">
        <v>53</v>
      </c>
      <c r="C64" s="51">
        <v>168419</v>
      </c>
      <c r="D64" s="2"/>
      <c r="E64" s="2"/>
      <c r="F64" s="1"/>
    </row>
    <row r="65" spans="2:13" ht="25.35" customHeight="1" thickBot="1">
      <c r="B65" s="68" t="s">
        <v>54</v>
      </c>
      <c r="C65" s="105">
        <f>C63/C64</f>
        <v>3.641786259270035</v>
      </c>
      <c r="D65" s="10"/>
      <c r="E65" s="2"/>
      <c r="F65" s="2"/>
      <c r="G65" s="2"/>
      <c r="H65" s="2"/>
      <c r="I65" s="2"/>
      <c r="J65" s="2"/>
      <c r="K65" s="2"/>
      <c r="L65" s="2"/>
      <c r="M65" s="2"/>
    </row>
    <row r="67" spans="2:13" ht="25.35" customHeight="1">
      <c r="B67" s="107" t="s">
        <v>55</v>
      </c>
      <c r="C67" s="106">
        <f ca="1">F3</f>
        <v>6.24</v>
      </c>
      <c r="D67" s="2"/>
      <c r="E67" s="2"/>
      <c r="F67" s="2"/>
      <c r="G67" s="2"/>
      <c r="H67" s="2"/>
      <c r="I67" s="2"/>
      <c r="J67" s="2"/>
      <c r="K67" s="2"/>
      <c r="L67" s="2"/>
      <c r="M67" s="2"/>
    </row>
    <row r="68" spans="2:13" ht="25.35" customHeight="1" thickBot="1">
      <c r="B68" s="68" t="s">
        <v>56</v>
      </c>
      <c r="C68" s="108" t="str">
        <f ca="1">IF(C67&gt;C65,"OVERVALUED","UNDERVALUED")</f>
        <v>OVERVALUED</v>
      </c>
      <c r="D68" s="10"/>
      <c r="E68" s="2"/>
      <c r="F68" s="2"/>
      <c r="G68" s="2"/>
      <c r="H68" s="2"/>
      <c r="I68" s="2"/>
      <c r="J68" s="2"/>
      <c r="K68" s="2"/>
      <c r="L68" s="2"/>
      <c r="M68" s="2"/>
    </row>
  </sheetData>
  <mergeCells count="1">
    <mergeCell ref="D58:D61"/>
  </mergeCells>
  <conditionalFormatting sqref="C68">
    <cfRule type="containsText" dxfId="1" priority="1" operator="containsText" text="UNDERVALUED">
      <formula>NOT(ISERROR(SEARCH("UNDERVALUED",C68)))</formula>
    </cfRule>
    <cfRule type="containsText" dxfId="0" priority="2" operator="containsText" text="OVERVALUED">
      <formula>NOT(ISERROR(SEARCH("OVERVALUED",C68)))</formula>
    </cfRule>
  </conditionalFormatting>
  <pageMargins left="0.3" right="0.3" top="0.3" bottom="0.3" header="0" footer="0"/>
  <pageSetup scale="58" fitToHeight="0" orientation="landscape" horizontalDpi="0" verticalDpi="0"/>
  <rowBreaks count="1" manualBreakCount="1">
    <brk id="52"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c7ab97e-4833-4b4c-9156-f5c70e1f3da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30F3907702AAA4F97C678786F5E095F" ma:contentTypeVersion="6" ma:contentTypeDescription="Create a new document." ma:contentTypeScope="" ma:versionID="ebf829431b9957d728b62488401fbdf6">
  <xsd:schema xmlns:xsd="http://www.w3.org/2001/XMLSchema" xmlns:xs="http://www.w3.org/2001/XMLSchema" xmlns:p="http://schemas.microsoft.com/office/2006/metadata/properties" xmlns:ns3="bc7ab97e-4833-4b4c-9156-f5c70e1f3da9" targetNamespace="http://schemas.microsoft.com/office/2006/metadata/properties" ma:root="true" ma:fieldsID="951bf618bf2d750a2e47c5680810325c" ns3:_="">
    <xsd:import namespace="bc7ab97e-4833-4b4c-9156-f5c70e1f3da9"/>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7ab97e-4833-4b4c-9156-f5c70e1f3d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30C0E7-2A77-4946-931B-E61BC1B4FCAD}"/>
</file>

<file path=customXml/itemProps2.xml><?xml version="1.0" encoding="utf-8"?>
<ds:datastoreItem xmlns:ds="http://schemas.openxmlformats.org/officeDocument/2006/customXml" ds:itemID="{2ECADC8C-BDD2-480A-A102-EE9E408315C6}"/>
</file>

<file path=customXml/itemProps3.xml><?xml version="1.0" encoding="utf-8"?>
<ds:datastoreItem xmlns:ds="http://schemas.openxmlformats.org/officeDocument/2006/customXml" ds:itemID="{C08A39CF-10CE-44D1-9E51-998FFA5D7E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
  <cp:revision/>
  <dcterms:created xsi:type="dcterms:W3CDTF">2017-03-12T00:10:35Z</dcterms:created>
  <dcterms:modified xsi:type="dcterms:W3CDTF">2026-07-03T22:27:35Z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0x010100930F3907702AAA4F97C678786F5E095F</vt:lpwstr>
  </property>
</Properties>
</file>